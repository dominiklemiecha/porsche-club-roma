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rancescomariafenici/Library/CloudStorage/Dropbox/Porsche Club Roma/PCR 2026-2028/2026/"/>
    </mc:Choice>
  </mc:AlternateContent>
  <xr:revisionPtr revIDLastSave="0" documentId="13_ncr:1_{116C43E8-CCFB-DA4E-A19E-EB5B05508F17}" xr6:coauthVersionLast="47" xr6:coauthVersionMax="47" xr10:uidLastSave="{00000000-0000-0000-0000-000000000000}"/>
  <bookViews>
    <workbookView xWindow="0" yWindow="700" windowWidth="34560" windowHeight="20460" tabRatio="518" xr2:uid="{00000000-000D-0000-FFFF-FFFF00000000}"/>
  </bookViews>
  <sheets>
    <sheet name="Classifica PCR" sheetId="1" r:id="rId1"/>
    <sheet name="TOP 20" sheetId="3" r:id="rId2"/>
    <sheet name="quantitativi per ordini" sheetId="4" r:id="rId3"/>
  </sheets>
  <definedNames>
    <definedName name="_xlnm.Print_Titles" localSheetId="0">'Classifica PCR'!$1:$1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42" i="1" l="1"/>
  <c r="T144" i="1"/>
  <c r="T159" i="1"/>
  <c r="T166" i="1"/>
  <c r="T178" i="1"/>
  <c r="T192" i="1"/>
  <c r="T196" i="1"/>
  <c r="T197" i="1"/>
  <c r="T112" i="1"/>
  <c r="T111" i="1"/>
  <c r="T104" i="1"/>
  <c r="T124" i="1"/>
  <c r="T121" i="1"/>
  <c r="W6" i="1"/>
  <c r="V6" i="1"/>
  <c r="T61" i="1"/>
  <c r="T35" i="1"/>
  <c r="T99" i="1"/>
  <c r="T126" i="1"/>
  <c r="T27" i="1"/>
  <c r="T62" i="1"/>
  <c r="T101" i="1"/>
  <c r="T63" i="1"/>
  <c r="T195" i="1"/>
  <c r="T170" i="1"/>
  <c r="T38" i="1"/>
  <c r="T190" i="1"/>
  <c r="T31" i="1"/>
  <c r="T191" i="1"/>
  <c r="T193" i="1"/>
  <c r="T194" i="1"/>
  <c r="T45" i="1"/>
  <c r="T16" i="1"/>
  <c r="T75" i="1"/>
  <c r="T102" i="1"/>
  <c r="T29" i="1"/>
  <c r="T47" i="1"/>
  <c r="T198" i="1"/>
  <c r="T199" i="1"/>
  <c r="T14" i="1"/>
  <c r="T127" i="1"/>
  <c r="T81" i="1"/>
  <c r="G23" i="3"/>
  <c r="T185" i="1"/>
  <c r="T2" i="1"/>
  <c r="T74" i="1"/>
  <c r="T60" i="1"/>
  <c r="T48" i="1"/>
  <c r="T36" i="1"/>
  <c r="T52" i="1"/>
  <c r="T23" i="1"/>
  <c r="T135" i="1"/>
  <c r="T86" i="1"/>
  <c r="T39" i="1"/>
  <c r="T73" i="1"/>
  <c r="T98" i="1"/>
  <c r="T136" i="1"/>
  <c r="T137" i="1"/>
  <c r="T103" i="1"/>
  <c r="T77" i="1"/>
  <c r="T138" i="1"/>
  <c r="T105" i="1"/>
  <c r="T53" i="1"/>
  <c r="T139" i="1"/>
  <c r="T32" i="1"/>
  <c r="T140" i="1"/>
  <c r="T141" i="1"/>
  <c r="T106" i="1"/>
  <c r="T107" i="1"/>
  <c r="T18" i="1"/>
  <c r="T143" i="1"/>
  <c r="T87" i="1"/>
  <c r="T3" i="1"/>
  <c r="T128" i="1"/>
  <c r="T145" i="1"/>
  <c r="T37" i="1"/>
  <c r="T40" i="1"/>
  <c r="T146" i="1"/>
  <c r="T10" i="1"/>
  <c r="T82" i="1"/>
  <c r="T129" i="1"/>
  <c r="T21" i="1"/>
  <c r="T147" i="1"/>
  <c r="T33" i="1"/>
  <c r="T148" i="1"/>
  <c r="T149" i="1"/>
  <c r="T79" i="1"/>
  <c r="T150" i="1"/>
  <c r="T88" i="1"/>
  <c r="T108" i="1"/>
  <c r="T4" i="1"/>
  <c r="T109" i="1"/>
  <c r="T151" i="1"/>
  <c r="T24" i="1"/>
  <c r="T78" i="1"/>
  <c r="T152" i="1"/>
  <c r="T67" i="1"/>
  <c r="T153" i="1"/>
  <c r="T110" i="1"/>
  <c r="T154" i="1"/>
  <c r="T155" i="1"/>
  <c r="T20" i="1"/>
  <c r="T17" i="1"/>
  <c r="T64" i="1"/>
  <c r="T95" i="1"/>
  <c r="T156" i="1"/>
  <c r="T157" i="1"/>
  <c r="T158" i="1"/>
  <c r="T8" i="1"/>
  <c r="T113" i="1"/>
  <c r="T130" i="1"/>
  <c r="T89" i="1"/>
  <c r="T114" i="1"/>
  <c r="T65" i="1"/>
  <c r="T71" i="1"/>
  <c r="T30" i="1"/>
  <c r="T68" i="1"/>
  <c r="T49" i="1"/>
  <c r="T83" i="1"/>
  <c r="T50" i="1"/>
  <c r="T100" i="1"/>
  <c r="T56" i="1"/>
  <c r="T160" i="1"/>
  <c r="T131" i="1"/>
  <c r="T115" i="1"/>
  <c r="T25" i="1"/>
  <c r="T90" i="1"/>
  <c r="T54" i="1"/>
  <c r="T161" i="1"/>
  <c r="T44" i="1"/>
  <c r="T76" i="1"/>
  <c r="T7" i="1"/>
  <c r="T34" i="1"/>
  <c r="T57" i="1"/>
  <c r="T162" i="1"/>
  <c r="T84" i="1"/>
  <c r="T116" i="1"/>
  <c r="T163" i="1"/>
  <c r="T164" i="1"/>
  <c r="T165" i="1"/>
  <c r="T12" i="1"/>
  <c r="T26" i="1"/>
  <c r="T167" i="1"/>
  <c r="T91" i="1"/>
  <c r="T117" i="1"/>
  <c r="T168" i="1"/>
  <c r="T169" i="1"/>
  <c r="T118" i="1"/>
  <c r="T51" i="1"/>
  <c r="T66" i="1"/>
  <c r="T119" i="1"/>
  <c r="T120" i="1"/>
  <c r="T58" i="1"/>
  <c r="T43" i="1"/>
  <c r="T132" i="1"/>
  <c r="T171" i="1"/>
  <c r="T172" i="1"/>
  <c r="T173" i="1"/>
  <c r="T133" i="1"/>
  <c r="T11" i="1"/>
  <c r="T28" i="1"/>
  <c r="T22" i="1"/>
  <c r="T174" i="1"/>
  <c r="T176" i="1"/>
  <c r="T175" i="1"/>
  <c r="T177" i="1"/>
  <c r="T122" i="1"/>
  <c r="T92" i="1"/>
  <c r="T96" i="1"/>
  <c r="T5" i="1"/>
  <c r="T179" i="1"/>
  <c r="T180" i="1"/>
  <c r="T85" i="1"/>
  <c r="T72" i="1"/>
  <c r="T93" i="1"/>
  <c r="T97" i="1"/>
  <c r="T15" i="1"/>
  <c r="T41" i="1"/>
  <c r="T55" i="1"/>
  <c r="T181" i="1"/>
  <c r="T6" i="1"/>
  <c r="T182" i="1"/>
  <c r="T183" i="1"/>
  <c r="T46" i="1"/>
  <c r="T13" i="1"/>
  <c r="T184" i="1"/>
  <c r="T80" i="1"/>
  <c r="T123" i="1"/>
  <c r="T125" i="1"/>
  <c r="T69" i="1"/>
  <c r="T9" i="1"/>
  <c r="T42" i="1"/>
  <c r="T59" i="1"/>
  <c r="T186" i="1"/>
  <c r="T94" i="1"/>
  <c r="T187" i="1"/>
  <c r="T19" i="1"/>
  <c r="T188" i="1"/>
  <c r="T70" i="1"/>
  <c r="T189" i="1"/>
  <c r="T134" i="1"/>
</calcChain>
</file>

<file path=xl/sharedStrings.xml><?xml version="1.0" encoding="utf-8"?>
<sst xmlns="http://schemas.openxmlformats.org/spreadsheetml/2006/main" count="748" uniqueCount="558">
  <si>
    <t>Cognome</t>
  </si>
  <si>
    <t>Nome</t>
  </si>
  <si>
    <t>ASSEMBLEA</t>
  </si>
  <si>
    <t>Alessi</t>
  </si>
  <si>
    <t>Amendolagine</t>
  </si>
  <si>
    <t>Marco</t>
  </si>
  <si>
    <t>Alessandro</t>
  </si>
  <si>
    <t>Arduini</t>
  </si>
  <si>
    <t>Aurilia</t>
  </si>
  <si>
    <t>Aniello</t>
  </si>
  <si>
    <t>Azzarone</t>
  </si>
  <si>
    <t>Daniele</t>
  </si>
  <si>
    <t>10</t>
  </si>
  <si>
    <t>Bagnato</t>
  </si>
  <si>
    <t>Carlo</t>
  </si>
  <si>
    <t>11</t>
  </si>
  <si>
    <t>12</t>
  </si>
  <si>
    <t>Behbahani</t>
  </si>
  <si>
    <t>Ramin</t>
  </si>
  <si>
    <t>13</t>
  </si>
  <si>
    <t>14</t>
  </si>
  <si>
    <t>Bernardi</t>
  </si>
  <si>
    <t>15</t>
  </si>
  <si>
    <t>Bertini</t>
  </si>
  <si>
    <t>Giovanni</t>
  </si>
  <si>
    <t>16</t>
  </si>
  <si>
    <t>Bincoletto</t>
  </si>
  <si>
    <t>Moreno</t>
  </si>
  <si>
    <t>17</t>
  </si>
  <si>
    <t>Bongiovanni</t>
  </si>
  <si>
    <t>Pietro</t>
  </si>
  <si>
    <t>18</t>
  </si>
  <si>
    <t>19</t>
  </si>
  <si>
    <t>Bottone</t>
  </si>
  <si>
    <t>Pierluca</t>
  </si>
  <si>
    <t>20</t>
  </si>
  <si>
    <t>Enrico</t>
  </si>
  <si>
    <t>21</t>
  </si>
  <si>
    <t>Cagnetti</t>
  </si>
  <si>
    <t>Fabrizio</t>
  </si>
  <si>
    <t>22</t>
  </si>
  <si>
    <t>Calcagno</t>
  </si>
  <si>
    <t>Guglielmo</t>
  </si>
  <si>
    <t>23</t>
  </si>
  <si>
    <t>Calicchia</t>
  </si>
  <si>
    <t>24</t>
  </si>
  <si>
    <t>Capaldo</t>
  </si>
  <si>
    <t>Francesco</t>
  </si>
  <si>
    <t>25</t>
  </si>
  <si>
    <t>Capozio</t>
  </si>
  <si>
    <t>Fabio</t>
  </si>
  <si>
    <t>26</t>
  </si>
  <si>
    <t>Piergiacomo</t>
  </si>
  <si>
    <t>27</t>
  </si>
  <si>
    <t>Caraccio</t>
  </si>
  <si>
    <t>Pierpaolo</t>
  </si>
  <si>
    <t>28</t>
  </si>
  <si>
    <t>Luigi</t>
  </si>
  <si>
    <t>29</t>
  </si>
  <si>
    <t>Carreri</t>
  </si>
  <si>
    <t>Matteo</t>
  </si>
  <si>
    <t>30</t>
  </si>
  <si>
    <t>Casali</t>
  </si>
  <si>
    <t>Massimo</t>
  </si>
  <si>
    <t>31</t>
  </si>
  <si>
    <t>32</t>
  </si>
  <si>
    <t>Cera</t>
  </si>
  <si>
    <t>Roberto</t>
  </si>
  <si>
    <t>33</t>
  </si>
  <si>
    <t>Ciapponi</t>
  </si>
  <si>
    <t>Gianfranco</t>
  </si>
  <si>
    <t>34</t>
  </si>
  <si>
    <t>Ciaramaglia</t>
  </si>
  <si>
    <t>Cosmo</t>
  </si>
  <si>
    <t>35</t>
  </si>
  <si>
    <t>36</t>
  </si>
  <si>
    <t>Cittadini</t>
  </si>
  <si>
    <t>37</t>
  </si>
  <si>
    <t>38</t>
  </si>
  <si>
    <t>Cristiano</t>
  </si>
  <si>
    <t>39</t>
  </si>
  <si>
    <t>40</t>
  </si>
  <si>
    <t>41</t>
  </si>
  <si>
    <t>Compagnone</t>
  </si>
  <si>
    <t>Simone</t>
  </si>
  <si>
    <t>42</t>
  </si>
  <si>
    <t>Corradi</t>
  </si>
  <si>
    <t>Claudio</t>
  </si>
  <si>
    <t>43</t>
  </si>
  <si>
    <t>D'Angelo</t>
  </si>
  <si>
    <t>Gianluca</t>
  </si>
  <si>
    <t>44</t>
  </si>
  <si>
    <t>De Gasperis</t>
  </si>
  <si>
    <t>Bruno</t>
  </si>
  <si>
    <t>45</t>
  </si>
  <si>
    <t>Sergio</t>
  </si>
  <si>
    <t>46</t>
  </si>
  <si>
    <t>47</t>
  </si>
  <si>
    <t>48</t>
  </si>
  <si>
    <t>49</t>
  </si>
  <si>
    <t>50</t>
  </si>
  <si>
    <t>51</t>
  </si>
  <si>
    <t>Nicola</t>
  </si>
  <si>
    <t>52</t>
  </si>
  <si>
    <t>53</t>
  </si>
  <si>
    <t>54</t>
  </si>
  <si>
    <t>55</t>
  </si>
  <si>
    <t>Fatello</t>
  </si>
  <si>
    <t>Andrea</t>
  </si>
  <si>
    <t>56</t>
  </si>
  <si>
    <t>Fenici</t>
  </si>
  <si>
    <t>57</t>
  </si>
  <si>
    <t>58</t>
  </si>
  <si>
    <t>Fischetti</t>
  </si>
  <si>
    <t>59</t>
  </si>
  <si>
    <t>Formato</t>
  </si>
  <si>
    <t>Vincenzo</t>
  </si>
  <si>
    <t>60</t>
  </si>
  <si>
    <t>Frascarelli</t>
  </si>
  <si>
    <t>Antonio Maria</t>
  </si>
  <si>
    <t>61</t>
  </si>
  <si>
    <t>62</t>
  </si>
  <si>
    <t>63</t>
  </si>
  <si>
    <t>Funaro</t>
  </si>
  <si>
    <t>64</t>
  </si>
  <si>
    <t>Vittorio</t>
  </si>
  <si>
    <t>65</t>
  </si>
  <si>
    <t>Fusaro</t>
  </si>
  <si>
    <t>Vito</t>
  </si>
  <si>
    <t>66</t>
  </si>
  <si>
    <t>Gabriele</t>
  </si>
  <si>
    <t>67</t>
  </si>
  <si>
    <t>Gaudino</t>
  </si>
  <si>
    <t>68</t>
  </si>
  <si>
    <t>Germano</t>
  </si>
  <si>
    <t>Giuseppe</t>
  </si>
  <si>
    <t>69</t>
  </si>
  <si>
    <t>Giaccone</t>
  </si>
  <si>
    <t>Enzo</t>
  </si>
  <si>
    <t>70</t>
  </si>
  <si>
    <t>Giaquinto</t>
  </si>
  <si>
    <t>Mauro Giuliano</t>
  </si>
  <si>
    <t>71</t>
  </si>
  <si>
    <t>Giordano</t>
  </si>
  <si>
    <t>72</t>
  </si>
  <si>
    <t>Giorgi</t>
  </si>
  <si>
    <t>Leopoldo</t>
  </si>
  <si>
    <t>73</t>
  </si>
  <si>
    <t>Ruggero</t>
  </si>
  <si>
    <t>74</t>
  </si>
  <si>
    <t>Massimiliano</t>
  </si>
  <si>
    <t>75</t>
  </si>
  <si>
    <t>76</t>
  </si>
  <si>
    <t>Iucci</t>
  </si>
  <si>
    <t>77</t>
  </si>
  <si>
    <t>78</t>
  </si>
  <si>
    <t>Langer</t>
  </si>
  <si>
    <t>Reinhard</t>
  </si>
  <si>
    <t>79</t>
  </si>
  <si>
    <t>Leccisi</t>
  </si>
  <si>
    <t>80</t>
  </si>
  <si>
    <t>Lorenzo</t>
  </si>
  <si>
    <t>81</t>
  </si>
  <si>
    <t>Lucera</t>
  </si>
  <si>
    <t>82</t>
  </si>
  <si>
    <t>83</t>
  </si>
  <si>
    <t>Emanuele</t>
  </si>
  <si>
    <t>84</t>
  </si>
  <si>
    <t>85</t>
  </si>
  <si>
    <t>Marano</t>
  </si>
  <si>
    <t>Raffaele</t>
  </si>
  <si>
    <t>86</t>
  </si>
  <si>
    <t>87</t>
  </si>
  <si>
    <t>Martini</t>
  </si>
  <si>
    <t>88</t>
  </si>
  <si>
    <t>Marzaroli</t>
  </si>
  <si>
    <t>89</t>
  </si>
  <si>
    <t>90</t>
  </si>
  <si>
    <t>Massarutto</t>
  </si>
  <si>
    <t>91</t>
  </si>
  <si>
    <t>Mastrogiacomo</t>
  </si>
  <si>
    <t>Pier Luigi</t>
  </si>
  <si>
    <t>92</t>
  </si>
  <si>
    <t>Matteoni</t>
  </si>
  <si>
    <t>Riccardo</t>
  </si>
  <si>
    <t>93</t>
  </si>
  <si>
    <t>94</t>
  </si>
  <si>
    <t>Mazzari</t>
  </si>
  <si>
    <t>Mario Attilio</t>
  </si>
  <si>
    <t>95</t>
  </si>
  <si>
    <t>96</t>
  </si>
  <si>
    <t>97</t>
  </si>
  <si>
    <t>98</t>
  </si>
  <si>
    <t>Merolla</t>
  </si>
  <si>
    <t>99</t>
  </si>
  <si>
    <t>Micalizzi</t>
  </si>
  <si>
    <t>Piergiorgio</t>
  </si>
  <si>
    <t>100</t>
  </si>
  <si>
    <t>101</t>
  </si>
  <si>
    <t>102</t>
  </si>
  <si>
    <t>Minoccheri</t>
  </si>
  <si>
    <t>103</t>
  </si>
  <si>
    <t>Morelli</t>
  </si>
  <si>
    <t>105</t>
  </si>
  <si>
    <t>106</t>
  </si>
  <si>
    <t>Mori</t>
  </si>
  <si>
    <t>Danilo</t>
  </si>
  <si>
    <t>107</t>
  </si>
  <si>
    <t>Morosini</t>
  </si>
  <si>
    <t>108</t>
  </si>
  <si>
    <t>109</t>
  </si>
  <si>
    <t>Mozzetti</t>
  </si>
  <si>
    <t>Giorgio</t>
  </si>
  <si>
    <t>110</t>
  </si>
  <si>
    <t>111</t>
  </si>
  <si>
    <t>112</t>
  </si>
  <si>
    <t>113</t>
  </si>
  <si>
    <t>114</t>
  </si>
  <si>
    <t>115</t>
  </si>
  <si>
    <t>Parri</t>
  </si>
  <si>
    <t>Antonino</t>
  </si>
  <si>
    <t>116</t>
  </si>
  <si>
    <t>Passamonte</t>
  </si>
  <si>
    <t>117</t>
  </si>
  <si>
    <t>118</t>
  </si>
  <si>
    <t>Pelle</t>
  </si>
  <si>
    <t>119</t>
  </si>
  <si>
    <t>Perna</t>
  </si>
  <si>
    <t>Gian Luca</t>
  </si>
  <si>
    <t>120</t>
  </si>
  <si>
    <t>Antonio</t>
  </si>
  <si>
    <t>121</t>
  </si>
  <si>
    <t>122</t>
  </si>
  <si>
    <t>Pieretti</t>
  </si>
  <si>
    <t>123</t>
  </si>
  <si>
    <t>Policari</t>
  </si>
  <si>
    <t>124</t>
  </si>
  <si>
    <t>Ponticelli</t>
  </si>
  <si>
    <t>125</t>
  </si>
  <si>
    <t>126</t>
  </si>
  <si>
    <t>Riviello</t>
  </si>
  <si>
    <t>Pio</t>
  </si>
  <si>
    <t>127</t>
  </si>
  <si>
    <t>128</t>
  </si>
  <si>
    <t>Roma</t>
  </si>
  <si>
    <t>129</t>
  </si>
  <si>
    <t>130</t>
  </si>
  <si>
    <t>Rossi</t>
  </si>
  <si>
    <t>131</t>
  </si>
  <si>
    <t>Saggini</t>
  </si>
  <si>
    <t>132</t>
  </si>
  <si>
    <t>Sagripanti</t>
  </si>
  <si>
    <t>Stefano</t>
  </si>
  <si>
    <t>133</t>
  </si>
  <si>
    <t>134</t>
  </si>
  <si>
    <t>Santopadre</t>
  </si>
  <si>
    <t>Aurelio</t>
  </si>
  <si>
    <t>135</t>
  </si>
  <si>
    <t>136</t>
  </si>
  <si>
    <t>137</t>
  </si>
  <si>
    <t>Simonelli</t>
  </si>
  <si>
    <t>138</t>
  </si>
  <si>
    <t>Srubek Tomassy</t>
  </si>
  <si>
    <t>Tarsitano</t>
  </si>
  <si>
    <t>Teichner</t>
  </si>
  <si>
    <t>Sandro</t>
  </si>
  <si>
    <t>Zelli</t>
  </si>
  <si>
    <t>Faroaldo</t>
  </si>
  <si>
    <t>#</t>
  </si>
  <si>
    <t>tot</t>
  </si>
  <si>
    <t>Valerio</t>
  </si>
  <si>
    <t>Belardi</t>
  </si>
  <si>
    <t>Duilio</t>
  </si>
  <si>
    <t>Abbruzzese</t>
  </si>
  <si>
    <t>Gianluigi</t>
  </si>
  <si>
    <t>Appolloni</t>
  </si>
  <si>
    <t>Leonardo</t>
  </si>
  <si>
    <t>Baldassarini</t>
  </si>
  <si>
    <t>Maurizio</t>
  </si>
  <si>
    <t>Guastamacchia</t>
  </si>
  <si>
    <t>Pasquale</t>
  </si>
  <si>
    <t>Mancusi</t>
  </si>
  <si>
    <t>Marcello</t>
  </si>
  <si>
    <t>Mauro</t>
  </si>
  <si>
    <t>Rolando</t>
  </si>
  <si>
    <t>Panetta</t>
  </si>
  <si>
    <t>Peri</t>
  </si>
  <si>
    <t>Giulio Richard</t>
  </si>
  <si>
    <t>von Freymann</t>
  </si>
  <si>
    <t>Edward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</si>
  <si>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</si>
  <si>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</si>
  <si>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</si>
  <si>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</si>
  <si>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</si>
  <si>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</si>
  <si>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</si>
  <si>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</si>
  <si>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</si>
  <si>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</si>
  <si>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4</t>
  </si>
  <si>
    <t>2</t>
  </si>
  <si>
    <t>3</t>
  </si>
  <si>
    <t>1</t>
  </si>
  <si>
    <t>5</t>
  </si>
  <si>
    <t>7</t>
  </si>
  <si>
    <t>6</t>
  </si>
  <si>
    <t>8</t>
  </si>
  <si>
    <t>9</t>
  </si>
  <si>
    <t>Posizione</t>
  </si>
  <si>
    <t>Modello Auto</t>
  </si>
  <si>
    <t>codice articolo</t>
  </si>
  <si>
    <t>descrizione</t>
  </si>
  <si>
    <t>listino netto iva</t>
  </si>
  <si>
    <t>quantità</t>
  </si>
  <si>
    <t>Livio</t>
  </si>
  <si>
    <t>Cappella</t>
  </si>
  <si>
    <t>Mario Federico</t>
  </si>
  <si>
    <t>De Magistris</t>
  </si>
  <si>
    <t>Filippo</t>
  </si>
  <si>
    <t>Focaracci</t>
  </si>
  <si>
    <t>Galli</t>
  </si>
  <si>
    <t>Giunta</t>
  </si>
  <si>
    <t>Montanaro</t>
  </si>
  <si>
    <t>Ventura</t>
  </si>
  <si>
    <t>Bernardino</t>
  </si>
  <si>
    <t>Round 1 Interseries Vallelunga</t>
  </si>
  <si>
    <t>Natali</t>
  </si>
  <si>
    <t>Gian Gabriele</t>
  </si>
  <si>
    <t>Raco</t>
  </si>
  <si>
    <t>Neroni</t>
  </si>
  <si>
    <t>Scarso</t>
  </si>
  <si>
    <t>Paolo</t>
  </si>
  <si>
    <t>149</t>
  </si>
  <si>
    <t>Di Marco</t>
  </si>
  <si>
    <t>Luca</t>
  </si>
  <si>
    <t>150</t>
  </si>
  <si>
    <t>151</t>
  </si>
  <si>
    <t>Andreini</t>
  </si>
  <si>
    <t>Alessio</t>
  </si>
  <si>
    <t>Renga</t>
  </si>
  <si>
    <t>152</t>
  </si>
  <si>
    <t>153</t>
  </si>
  <si>
    <t>Belmonte</t>
  </si>
  <si>
    <t>Bittarelli</t>
  </si>
  <si>
    <t>Fulvio</t>
  </si>
  <si>
    <t>Boccuccia</t>
  </si>
  <si>
    <t>Boidi</t>
  </si>
  <si>
    <t>Caramelli</t>
  </si>
  <si>
    <t>Alberto</t>
  </si>
  <si>
    <t>Caucci</t>
  </si>
  <si>
    <t>de Iudicibus</t>
  </si>
  <si>
    <t>De Rose</t>
  </si>
  <si>
    <t>Rosario Maria Antonio</t>
  </si>
  <si>
    <t>Fanone</t>
  </si>
  <si>
    <t>Fiorillo</t>
  </si>
  <si>
    <t>Grandinetti</t>
  </si>
  <si>
    <t>Alfredo</t>
  </si>
  <si>
    <t>Lio</t>
  </si>
  <si>
    <t>Mannering</t>
  </si>
  <si>
    <t>Geoffrey</t>
  </si>
  <si>
    <t>Vallini</t>
  </si>
  <si>
    <t>Eugenio</t>
  </si>
  <si>
    <t>154</t>
  </si>
  <si>
    <t>155</t>
  </si>
  <si>
    <t>156</t>
  </si>
  <si>
    <t>D'Appollonio</t>
  </si>
  <si>
    <t>157</t>
  </si>
  <si>
    <t>158</t>
  </si>
  <si>
    <t>159</t>
  </si>
  <si>
    <t>160</t>
  </si>
  <si>
    <t>161</t>
  </si>
  <si>
    <t>Minò</t>
  </si>
  <si>
    <t>Cesetti</t>
  </si>
  <si>
    <t>Greco</t>
  </si>
  <si>
    <t>Angelo</t>
  </si>
  <si>
    <t>Costa</t>
  </si>
  <si>
    <t>Corrado</t>
  </si>
  <si>
    <t>Molinari</t>
  </si>
  <si>
    <t>Edoardo</t>
  </si>
  <si>
    <t>Testa</t>
  </si>
  <si>
    <t>Falco</t>
  </si>
  <si>
    <t>Ferrazzano</t>
  </si>
  <si>
    <t>Di Mario</t>
  </si>
  <si>
    <t>Passerini</t>
  </si>
  <si>
    <t>Caiazza</t>
  </si>
  <si>
    <t>Cotugno</t>
  </si>
  <si>
    <t>Russo</t>
  </si>
  <si>
    <t>Donato</t>
  </si>
  <si>
    <t>Marchese</t>
  </si>
  <si>
    <t>Mario</t>
  </si>
  <si>
    <t>Di Renzo</t>
  </si>
  <si>
    <t>Cristina</t>
  </si>
  <si>
    <t>Mezzetti</t>
  </si>
  <si>
    <t>William</t>
  </si>
  <si>
    <t>Zuccari</t>
  </si>
  <si>
    <t>Beatrice</t>
  </si>
  <si>
    <t>162</t>
  </si>
  <si>
    <t>163</t>
  </si>
  <si>
    <t>164</t>
  </si>
  <si>
    <t>165</t>
  </si>
  <si>
    <t>166</t>
  </si>
  <si>
    <t>Round 2 Interseries Imola</t>
  </si>
  <si>
    <t>Reale</t>
  </si>
  <si>
    <t>Fontana</t>
  </si>
  <si>
    <t>104</t>
  </si>
  <si>
    <t>167</t>
  </si>
  <si>
    <t>168</t>
  </si>
  <si>
    <t>Cuffaro</t>
  </si>
  <si>
    <t>Sarli</t>
  </si>
  <si>
    <t>Ettore</t>
  </si>
  <si>
    <t>Simoncelli</t>
  </si>
  <si>
    <t>David</t>
  </si>
  <si>
    <t>Sironi</t>
  </si>
  <si>
    <t>169</t>
  </si>
  <si>
    <t>170</t>
  </si>
  <si>
    <t>171</t>
  </si>
  <si>
    <t>172</t>
  </si>
  <si>
    <t>992 GT3 RS Weissach</t>
  </si>
  <si>
    <t>991 GT3</t>
  </si>
  <si>
    <t>992 S</t>
  </si>
  <si>
    <t>981 GT4</t>
  </si>
  <si>
    <t>991 GT3 RS</t>
  </si>
  <si>
    <t>991.2 4 GTS</t>
  </si>
  <si>
    <t>718 Boxster S</t>
  </si>
  <si>
    <t>992 4S</t>
  </si>
  <si>
    <t>991.2 GT3 RS</t>
  </si>
  <si>
    <t>992 GT3</t>
  </si>
  <si>
    <t>718 GT4 RS</t>
  </si>
  <si>
    <t>992 Turbo S cabrio</t>
  </si>
  <si>
    <t>997 S</t>
  </si>
  <si>
    <t>992 4 GTS</t>
  </si>
  <si>
    <t>991.2 GTS</t>
  </si>
  <si>
    <t>modellino per interseries da ordinare</t>
  </si>
  <si>
    <t>3 pezzi</t>
  </si>
  <si>
    <t>WAP41400M0R60Y</t>
  </si>
  <si>
    <t>GIACCA 60Y PELLE</t>
  </si>
  <si>
    <t>listino iva INCL.</t>
  </si>
  <si>
    <t>WAP4140XL0R60Y</t>
  </si>
  <si>
    <t>CARBON BAG</t>
  </si>
  <si>
    <t>WAP0214020PGT2</t>
  </si>
  <si>
    <t>MODELLINO 1:18 GT4RS</t>
  </si>
  <si>
    <t>WAP02120205GT3</t>
  </si>
  <si>
    <t>MODELLINO 1:18 GT3 RS SALZBURG</t>
  </si>
  <si>
    <t>WAP0211680SXMS</t>
  </si>
  <si>
    <t>MODELLINO 1:18 DAKAR XMS</t>
  </si>
  <si>
    <t>WAP0502210K60Y</t>
  </si>
  <si>
    <t>SPEAKER</t>
  </si>
  <si>
    <t>SET COLTELLI</t>
  </si>
  <si>
    <t>4056487068596</t>
  </si>
  <si>
    <t>ZAINO</t>
  </si>
  <si>
    <t>WAP0201550PGT3</t>
  </si>
  <si>
    <t>911 1:43 SET BARILLA</t>
  </si>
  <si>
    <t>WAP0500140PSUP</t>
  </si>
  <si>
    <t>SALE PEPE</t>
  </si>
  <si>
    <t>0004400191</t>
  </si>
  <si>
    <t>TAPPO ALULOOK</t>
  </si>
  <si>
    <t>971044261</t>
  </si>
  <si>
    <t>TAPPO EXCLUSIVE</t>
  </si>
  <si>
    <t>FENICI</t>
  </si>
  <si>
    <t>4056487017709</t>
  </si>
  <si>
    <t>WAP0215050SGTR</t>
  </si>
  <si>
    <t>Rosario Livio</t>
  </si>
  <si>
    <t>Altavilla</t>
  </si>
  <si>
    <t>Angiolillo</t>
  </si>
  <si>
    <t>Astrologo</t>
  </si>
  <si>
    <t>Michele Mario</t>
  </si>
  <si>
    <t>Barucco</t>
  </si>
  <si>
    <t>Clemente</t>
  </si>
  <si>
    <t>D'Offizi</t>
  </si>
  <si>
    <t>De Matteis</t>
  </si>
  <si>
    <t>Dario</t>
  </si>
  <si>
    <t>Della Rocca</t>
  </si>
  <si>
    <t>Di Franco</t>
  </si>
  <si>
    <t>Falcinelli</t>
  </si>
  <si>
    <t>Francesco Maria</t>
  </si>
  <si>
    <t>Ferrari</t>
  </si>
  <si>
    <t>Michele</t>
  </si>
  <si>
    <t>Fresta</t>
  </si>
  <si>
    <t>Gargani</t>
  </si>
  <si>
    <t>Maesano</t>
  </si>
  <si>
    <t>Malara</t>
  </si>
  <si>
    <t>Manfredini</t>
  </si>
  <si>
    <t>Mazza</t>
  </si>
  <si>
    <t>Monica</t>
  </si>
  <si>
    <t>Piccionetti</t>
  </si>
  <si>
    <t>Protano</t>
  </si>
  <si>
    <t>Nello Marcello</t>
  </si>
  <si>
    <t>Quintarelli</t>
  </si>
  <si>
    <t>Ranieri</t>
  </si>
  <si>
    <t>Rocchi</t>
  </si>
  <si>
    <t>Rossetti</t>
  </si>
  <si>
    <t>Adolfo Giacomo</t>
  </si>
  <si>
    <t>173</t>
  </si>
  <si>
    <t>174</t>
  </si>
  <si>
    <t>175</t>
  </si>
  <si>
    <t>176</t>
  </si>
  <si>
    <t>177</t>
  </si>
  <si>
    <t>178</t>
  </si>
  <si>
    <t>CAPRAROLA</t>
  </si>
  <si>
    <t>AEROPORTO MILITARE</t>
  </si>
  <si>
    <t>REGGIA DI CASERTA</t>
  </si>
  <si>
    <t>Round 4 Interseries SILVERSTONE</t>
  </si>
  <si>
    <t>Anniversario PCR</t>
  </si>
  <si>
    <t>Round 3 Interseries Misano</t>
  </si>
  <si>
    <t>I SEGRETI DELLA TOSCANA</t>
  </si>
  <si>
    <t>Round 5 Interseries Mugello</t>
  </si>
  <si>
    <t>Round 6 Interseries Vallelunga</t>
  </si>
  <si>
    <t>VALLELUNGA - MEMORIAL</t>
  </si>
  <si>
    <t>MUSEI VATICANI</t>
  </si>
  <si>
    <t>PISTA</t>
  </si>
  <si>
    <t>TURISMO</t>
  </si>
  <si>
    <t>Sorricchio di Valforte</t>
  </si>
  <si>
    <t>Guido</t>
  </si>
  <si>
    <t>Marzano</t>
  </si>
  <si>
    <t>De Petris</t>
  </si>
  <si>
    <t>Valentini</t>
  </si>
  <si>
    <t>Bertolini</t>
  </si>
  <si>
    <t>Mattucci</t>
  </si>
  <si>
    <t>SPOLETO</t>
  </si>
  <si>
    <t>Mastracci</t>
  </si>
  <si>
    <t>Niki</t>
  </si>
  <si>
    <t>Porcarelli</t>
  </si>
  <si>
    <t>Luciano</t>
  </si>
  <si>
    <t>De Cuntis</t>
  </si>
  <si>
    <t>De Luca</t>
  </si>
  <si>
    <t>Marcoccia</t>
  </si>
  <si>
    <t>Manuel</t>
  </si>
  <si>
    <t>Bergamo</t>
  </si>
  <si>
    <t>Elio</t>
  </si>
  <si>
    <t>Di Giuseppe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</si>
  <si>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</si>
  <si>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</si>
  <si>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</si>
  <si>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</si>
  <si>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</si>
  <si>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</si>
  <si>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</si>
  <si>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</si>
  <si>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</si>
  <si>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</si>
  <si>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</si>
  <si>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Cannone</t>
  </si>
  <si>
    <t>Fileti</t>
  </si>
  <si>
    <t>Montefusco</t>
  </si>
  <si>
    <t>Scarpuzza</t>
  </si>
  <si>
    <t>Spaziani</t>
  </si>
  <si>
    <t>Terenzi</t>
  </si>
  <si>
    <t>190</t>
  </si>
  <si>
    <t>191</t>
  </si>
  <si>
    <t>192</t>
  </si>
  <si>
    <t>193</t>
  </si>
  <si>
    <t>194</t>
  </si>
  <si>
    <t>195</t>
  </si>
  <si>
    <t>196</t>
  </si>
  <si>
    <t>197</t>
  </si>
  <si>
    <t>classifica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</si>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</sst>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€&quot;\ * #,##0.00_-;\-&quot;€&quot;\ * #,##0.00_-;_-&quot;€&quot;\ * &quot;-&quot;??_-;_-@_-"/>
    <numFmt numFmtId="165" formatCode="0.0"/>
    <numFmt numFmtId="166" formatCode="&quot;€&quot;\ #,##0.00"/>
  </numFmts>
  <fonts count="18">
    <font>
      <sz val="11"/>
      <color theme="1"/>
      <name val="Calibri"/>
      <family val="2"/>
      <scheme val="minor"/>
    </font>
    <font>
      <b/>
      <sz val="14"/>
      <name val="Porsche Next TT"/>
      <family val="2"/>
    </font>
    <font>
      <b/>
      <sz val="14"/>
      <color theme="1"/>
      <name val="Porsche Next TT"/>
      <family val="2"/>
    </font>
    <font>
      <sz val="14"/>
      <name val="Porsche Next TT"/>
      <family val="2"/>
    </font>
    <font>
      <sz val="11"/>
      <color theme="1"/>
      <name val="Porsche Next TT"/>
      <family val="2"/>
    </font>
    <font>
      <b/>
      <sz val="14"/>
      <color indexed="8"/>
      <name val="Porsche Next TT"/>
      <family val="2"/>
    </font>
    <font>
      <sz val="14"/>
      <color theme="1"/>
      <name val="Porsche Next TT"/>
      <family val="2"/>
    </font>
    <font>
      <b/>
      <sz val="11"/>
      <color theme="1"/>
      <name val="Porsche Next TT"/>
      <family val="2"/>
    </font>
    <font>
      <b/>
      <sz val="14"/>
      <color rgb="FFFF0000"/>
      <name val="Porsche Next TT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4"/>
      <name val="Porsche Next TT"/>
      <family val="2"/>
    </font>
    <font>
      <sz val="11"/>
      <color theme="1"/>
      <name val="Calibri"/>
      <family val="2"/>
      <scheme val="minor"/>
    </font>
    <font>
      <b/>
      <sz val="11"/>
      <color theme="1"/>
      <name val="Porsche Next TT"/>
    </font>
    <font>
      <sz val="14"/>
      <name val="Porsche Next TT"/>
    </font>
    <font>
      <b/>
      <sz val="16"/>
      <name val="Porsche Next TT"/>
      <family val="2"/>
    </font>
    <font>
      <sz val="16"/>
      <color theme="1"/>
      <name val="Porsche Next TT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1" fillId="0" borderId="0"/>
    <xf numFmtId="164" fontId="13" fillId="0" borderId="0" applyFont="0" applyFill="0" applyBorder="0" applyAlignment="0" applyProtection="0"/>
  </cellStyleXfs>
  <cellXfs count="49">
    <xf numFmtId="0" fontId="0" fillId="0" borderId="0" xfId="0"/>
    <xf numFmtId="0" fontId="4" fillId="0" borderId="0" xfId="0" applyFont="1"/>
    <xf numFmtId="0" fontId="3" fillId="0" borderId="1" xfId="0" applyFont="1" applyBorder="1" applyAlignment="1">
      <alignment vertical="center"/>
    </xf>
    <xf numFmtId="1" fontId="5" fillId="0" borderId="1" xfId="0" applyNumberFormat="1" applyFont="1" applyBorder="1" applyAlignment="1">
      <alignment horizontal="center" vertical="center"/>
    </xf>
    <xf numFmtId="49" fontId="1" fillId="2" borderId="1" xfId="0" quotePrefix="1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/>
    </xf>
    <xf numFmtId="0" fontId="6" fillId="0" borderId="0" xfId="0" applyFont="1"/>
    <xf numFmtId="1" fontId="5" fillId="0" borderId="1" xfId="0" applyNumberFormat="1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textRotation="90" wrapText="1"/>
    </xf>
    <xf numFmtId="0" fontId="7" fillId="0" borderId="0" xfId="0" applyFont="1"/>
    <xf numFmtId="1" fontId="1" fillId="3" borderId="1" xfId="0" applyNumberFormat="1" applyFont="1" applyFill="1" applyBorder="1" applyAlignment="1">
      <alignment horizontal="center" vertical="center" textRotation="90" wrapText="1"/>
    </xf>
    <xf numFmtId="1" fontId="1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" fontId="4" fillId="0" borderId="0" xfId="0" applyNumberFormat="1" applyFont="1"/>
    <xf numFmtId="1" fontId="2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10" fillId="0" borderId="1" xfId="0" applyFont="1" applyBorder="1"/>
    <xf numFmtId="0" fontId="0" fillId="0" borderId="1" xfId="0" applyBorder="1"/>
    <xf numFmtId="166" fontId="10" fillId="0" borderId="0" xfId="0" applyNumberFormat="1" applyFont="1"/>
    <xf numFmtId="0" fontId="1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10" fillId="0" borderId="0" xfId="0" applyFont="1"/>
    <xf numFmtId="4" fontId="0" fillId="0" borderId="0" xfId="0" applyNumberFormat="1" applyAlignment="1">
      <alignment horizontal="right" vertical="top"/>
    </xf>
    <xf numFmtId="49" fontId="3" fillId="0" borderId="2" xfId="0" applyNumberFormat="1" applyFont="1" applyBorder="1" applyAlignment="1">
      <alignment horizontal="center" vertical="center"/>
    </xf>
    <xf numFmtId="0" fontId="12" fillId="4" borderId="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164" fontId="3" fillId="0" borderId="1" xfId="2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1" fontId="5" fillId="0" borderId="2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textRotation="90" wrapText="1"/>
    </xf>
    <xf numFmtId="0" fontId="1" fillId="4" borderId="1" xfId="0" applyFont="1" applyFill="1" applyBorder="1" applyAlignment="1">
      <alignment horizontal="center" vertical="center"/>
    </xf>
    <xf numFmtId="0" fontId="14" fillId="0" borderId="0" xfId="0" applyFont="1"/>
    <xf numFmtId="0" fontId="4" fillId="0" borderId="1" xfId="0" applyFont="1" applyBorder="1"/>
    <xf numFmtId="1" fontId="5" fillId="4" borderId="1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vertical="center"/>
    </xf>
    <xf numFmtId="49" fontId="16" fillId="2" borderId="1" xfId="0" quotePrefix="1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7" fillId="0" borderId="0" xfId="0" applyFont="1"/>
    <xf numFmtId="1" fontId="5" fillId="5" borderId="1" xfId="0" applyNumberFormat="1" applyFont="1" applyFill="1" applyBorder="1" applyAlignment="1">
      <alignment horizontal="center" vertical="center"/>
    </xf>
    <xf numFmtId="1" fontId="5" fillId="6" borderId="1" xfId="0" applyNumberFormat="1" applyFont="1" applyFill="1" applyBorder="1" applyAlignment="1">
      <alignment horizontal="center" vertic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0" borderId="0" xfId="0" applyNumberFormat="1" applyFont="1" applyBorder="1" applyAlignment="1">
      <alignment horizontal="center" vertical="center"/>
    </xf>
  </cellXfs>
  <cellStyles count="3">
    <cellStyle name="Normale" xfId="0" builtinId="0"/>
    <cellStyle name="Normale 5" xfId="1" xr:uid="{CE7F1577-3915-4FC2-9AC0-56D33624C1EC}"/>
    <cellStyle name="Valuta" xfId="2" builtinId="4"/>
  </cellStyles>
  <dxfs count="0"/>
  <tableStyles count="0" defaultTableStyle="TableStyleMedium9" defaultPivotStyle="PivotStyleLight16"/>
  <colors>
    <mruColors>
      <color rgb="FFCC9900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99"/>
  <sheetViews>
    <sheetView tabSelected="1" zoomScale="114" zoomScaleNormal="100" workbookViewId="0">
      <selection activeCell="M8" sqref="M8"/>
    </sheetView>
  </sheetViews>
  <sheetFormatPr baseColWidth="10" defaultColWidth="9.1640625" defaultRowHeight="24"/>
  <cols>
    <col min="1" max="1" width="9.1640625" style="1"/>
    <col min="2" max="2" width="10.1640625" style="44" bestFit="1" customWidth="1"/>
    <col min="3" max="3" width="27.83203125" style="1" bestFit="1" customWidth="1"/>
    <col min="4" max="4" width="29.5" style="1" bestFit="1" customWidth="1"/>
    <col min="5" max="5" width="9" style="1" customWidth="1"/>
    <col min="6" max="6" width="9" style="7" customWidth="1"/>
    <col min="7" max="7" width="9" style="14" customWidth="1"/>
    <col min="8" max="9" width="9" style="1" customWidth="1"/>
    <col min="10" max="10" width="7.5" style="1" customWidth="1"/>
    <col min="11" max="11" width="9" style="1" customWidth="1"/>
    <col min="12" max="12" width="9" style="14" customWidth="1"/>
    <col min="13" max="13" width="9" style="1" customWidth="1"/>
    <col min="14" max="14" width="9.1640625" style="1" customWidth="1"/>
    <col min="15" max="15" width="9" style="14" customWidth="1"/>
    <col min="16" max="19" width="9.1640625" style="1" customWidth="1"/>
    <col min="20" max="20" width="9" style="1" customWidth="1"/>
    <col min="21" max="21" width="9.1640625" style="1" customWidth="1"/>
    <col min="22" max="22" width="11.33203125" style="1" customWidth="1"/>
    <col min="23" max="23" width="10.33203125" style="1" customWidth="1"/>
    <col min="24" max="24" width="9.1640625" style="1" customWidth="1"/>
    <col min="25" max="16384" width="9.1640625" style="1"/>
  </cols>
  <sheetData>
    <row r="1" spans="1:23" ht="168">
      <c r="A1" s="4" t="s">
        <v>268</v>
      </c>
      <c r="B1" s="41" t="s">
        <v>556</v>
      </c>
      <c r="C1" s="6" t="s">
        <v>0</v>
      </c>
      <c r="D1" s="6" t="s">
        <v>1</v>
      </c>
      <c r="E1" s="5" t="s">
        <v>2</v>
      </c>
      <c r="F1" s="5" t="s">
        <v>499</v>
      </c>
      <c r="G1" s="11" t="s">
        <v>326</v>
      </c>
      <c r="H1" s="5" t="s">
        <v>500</v>
      </c>
      <c r="I1" s="9" t="s">
        <v>402</v>
      </c>
      <c r="J1" s="9" t="s">
        <v>504</v>
      </c>
      <c r="K1" s="5" t="s">
        <v>501</v>
      </c>
      <c r="L1" s="11" t="s">
        <v>502</v>
      </c>
      <c r="M1" s="5" t="s">
        <v>519</v>
      </c>
      <c r="N1" s="35" t="s">
        <v>503</v>
      </c>
      <c r="O1" s="9" t="s">
        <v>506</v>
      </c>
      <c r="P1" s="5" t="s">
        <v>505</v>
      </c>
      <c r="Q1" s="9" t="s">
        <v>507</v>
      </c>
      <c r="R1" s="5" t="s">
        <v>508</v>
      </c>
      <c r="S1" s="5" t="s">
        <v>509</v>
      </c>
      <c r="T1" s="5" t="s">
        <v>269</v>
      </c>
    </row>
    <row r="2" spans="1:23">
      <c r="A2" s="30" t="s">
        <v>557</v>
      </c>
      <c r="B2" s="42"/>
      <c r="C2" s="40"/>
      <c r="D2" s="31"/>
      <c r="E2" s="6">
        <v>10</v>
      </c>
      <c r="F2" s="6">
        <v>9</v>
      </c>
      <c r="G2" s="29">
        <v>10</v>
      </c>
      <c r="H2" s="6">
        <v>9</v>
      </c>
      <c r="I2" s="29">
        <v>25</v>
      </c>
      <c r="J2" s="29">
        <v>30</v>
      </c>
      <c r="K2" s="6">
        <v>13</v>
      </c>
      <c r="L2" s="29">
        <v>0</v>
      </c>
      <c r="M2" s="6">
        <v>9</v>
      </c>
      <c r="N2" s="36">
        <v>0</v>
      </c>
      <c r="O2" s="29">
        <v>25</v>
      </c>
      <c r="P2" s="6">
        <v>30</v>
      </c>
      <c r="Q2" s="29">
        <v>10</v>
      </c>
      <c r="R2" s="6">
        <v>10</v>
      </c>
      <c r="S2" s="6">
        <v>10</v>
      </c>
      <c r="T2" s="16">
        <f>SUM(E2:S2)</f>
        <v>200</v>
      </c>
      <c r="U2" s="27"/>
    </row>
    <row r="3" spans="1:23">
      <c r="A3" s="30" t="s">
        <v>300</v>
      </c>
      <c r="B3" s="43">
        <v>1</v>
      </c>
      <c r="C3" s="47" t="s">
        <v>44</v>
      </c>
      <c r="D3" s="34" t="s">
        <v>5</v>
      </c>
      <c r="E3" s="3">
        <v>10</v>
      </c>
      <c r="F3" s="3">
        <v>9</v>
      </c>
      <c r="G3" s="3">
        <v>10</v>
      </c>
      <c r="H3" s="3">
        <v>9</v>
      </c>
      <c r="I3" s="3">
        <v>25</v>
      </c>
      <c r="J3" s="3">
        <v>30</v>
      </c>
      <c r="K3" s="3">
        <v>13</v>
      </c>
      <c r="L3" s="3"/>
      <c r="M3" s="3">
        <v>9</v>
      </c>
      <c r="N3" s="3"/>
      <c r="O3" s="3">
        <v>25</v>
      </c>
      <c r="P3" s="3">
        <v>30</v>
      </c>
      <c r="Q3" s="3">
        <v>10</v>
      </c>
      <c r="R3" s="3"/>
      <c r="S3" s="3">
        <v>10</v>
      </c>
      <c r="T3" s="16">
        <f>SUM(E3:S3)</f>
        <v>190</v>
      </c>
      <c r="U3" s="27"/>
    </row>
    <row r="4" spans="1:23">
      <c r="A4" s="30" t="s">
        <v>302</v>
      </c>
      <c r="B4" s="43">
        <v>1</v>
      </c>
      <c r="C4" s="39" t="s">
        <v>76</v>
      </c>
      <c r="D4" s="3" t="s">
        <v>55</v>
      </c>
      <c r="E4" s="3">
        <v>10</v>
      </c>
      <c r="F4" s="3">
        <v>9</v>
      </c>
      <c r="G4" s="3">
        <v>10</v>
      </c>
      <c r="H4" s="3">
        <v>9</v>
      </c>
      <c r="I4" s="3">
        <v>25</v>
      </c>
      <c r="J4" s="3">
        <v>30</v>
      </c>
      <c r="K4" s="3">
        <v>13</v>
      </c>
      <c r="L4" s="3"/>
      <c r="M4" s="3">
        <v>9</v>
      </c>
      <c r="N4" s="3"/>
      <c r="O4" s="3">
        <v>25</v>
      </c>
      <c r="P4" s="3">
        <v>30</v>
      </c>
      <c r="Q4" s="3">
        <v>10</v>
      </c>
      <c r="R4" s="3"/>
      <c r="S4" s="3">
        <v>10</v>
      </c>
      <c r="T4" s="16">
        <f>SUM(E4:S4)</f>
        <v>190</v>
      </c>
      <c r="U4" s="27"/>
    </row>
    <row r="5" spans="1:23">
      <c r="A5" s="30" t="s">
        <v>301</v>
      </c>
      <c r="B5" s="43">
        <v>1</v>
      </c>
      <c r="C5" s="39" t="s">
        <v>205</v>
      </c>
      <c r="D5" s="3" t="s">
        <v>206</v>
      </c>
      <c r="E5" s="3">
        <v>10</v>
      </c>
      <c r="F5" s="3">
        <v>9</v>
      </c>
      <c r="G5" s="3">
        <v>10</v>
      </c>
      <c r="H5" s="3">
        <v>9</v>
      </c>
      <c r="I5" s="3">
        <v>25</v>
      </c>
      <c r="J5" s="3">
        <v>30</v>
      </c>
      <c r="K5" s="3">
        <v>13</v>
      </c>
      <c r="L5" s="3"/>
      <c r="M5" s="3">
        <v>9</v>
      </c>
      <c r="N5" s="3"/>
      <c r="O5" s="3">
        <v>25</v>
      </c>
      <c r="P5" s="3">
        <v>30</v>
      </c>
      <c r="Q5" s="3">
        <v>10</v>
      </c>
      <c r="R5" s="3"/>
      <c r="S5" s="3">
        <v>10</v>
      </c>
      <c r="T5" s="16">
        <f>SUM(E5:S5)</f>
        <v>190</v>
      </c>
      <c r="U5" s="27"/>
      <c r="V5" s="10" t="s">
        <v>510</v>
      </c>
      <c r="W5" s="37" t="s">
        <v>511</v>
      </c>
    </row>
    <row r="6" spans="1:23">
      <c r="A6" s="30" t="s">
        <v>303</v>
      </c>
      <c r="B6" s="43">
        <v>1</v>
      </c>
      <c r="C6" s="39" t="s">
        <v>227</v>
      </c>
      <c r="D6" s="3" t="s">
        <v>228</v>
      </c>
      <c r="E6" s="3">
        <v>10</v>
      </c>
      <c r="F6" s="3">
        <v>9</v>
      </c>
      <c r="G6" s="3">
        <v>10</v>
      </c>
      <c r="H6" s="3">
        <v>9</v>
      </c>
      <c r="I6" s="3">
        <v>25</v>
      </c>
      <c r="J6" s="3">
        <v>30</v>
      </c>
      <c r="K6" s="3">
        <v>13</v>
      </c>
      <c r="L6" s="3"/>
      <c r="M6" s="3">
        <v>9</v>
      </c>
      <c r="N6" s="3"/>
      <c r="O6" s="3">
        <v>25</v>
      </c>
      <c r="P6" s="3">
        <v>30</v>
      </c>
      <c r="Q6" s="3">
        <v>10</v>
      </c>
      <c r="R6" s="3"/>
      <c r="S6" s="3">
        <v>10</v>
      </c>
      <c r="T6" s="16">
        <f>SUM(E6:S6)</f>
        <v>190</v>
      </c>
      <c r="U6" s="27"/>
      <c r="V6" s="14">
        <f>G2+I2+J2+L2+O2+Q2+E2</f>
        <v>110</v>
      </c>
      <c r="W6" s="14">
        <f>E2+F2+H2+K2+M2+N2+P2+R2+S2</f>
        <v>100</v>
      </c>
    </row>
    <row r="7" spans="1:23">
      <c r="A7" s="30" t="s">
        <v>304</v>
      </c>
      <c r="B7" s="43">
        <v>5</v>
      </c>
      <c r="C7" s="45" t="s">
        <v>137</v>
      </c>
      <c r="D7" s="3" t="s">
        <v>138</v>
      </c>
      <c r="E7" s="3">
        <v>10</v>
      </c>
      <c r="F7" s="3">
        <v>9</v>
      </c>
      <c r="G7" s="3">
        <v>10</v>
      </c>
      <c r="H7" s="3">
        <v>9</v>
      </c>
      <c r="I7" s="3">
        <v>25</v>
      </c>
      <c r="J7" s="3">
        <v>30</v>
      </c>
      <c r="K7" s="3">
        <v>13</v>
      </c>
      <c r="L7" s="3"/>
      <c r="M7" s="3">
        <v>9</v>
      </c>
      <c r="N7" s="3"/>
      <c r="O7" s="3">
        <v>25</v>
      </c>
      <c r="P7" s="3">
        <v>30</v>
      </c>
      <c r="Q7" s="3">
        <v>10</v>
      </c>
      <c r="R7" s="3"/>
      <c r="S7" s="3"/>
      <c r="T7" s="16">
        <f>SUM(E7:S7)</f>
        <v>180</v>
      </c>
      <c r="U7" s="27"/>
      <c r="V7" s="10"/>
    </row>
    <row r="8" spans="1:23">
      <c r="A8" s="30" t="s">
        <v>305</v>
      </c>
      <c r="B8" s="43">
        <v>6</v>
      </c>
      <c r="C8" s="39" t="s">
        <v>334</v>
      </c>
      <c r="D8" s="3" t="s">
        <v>335</v>
      </c>
      <c r="E8" s="3"/>
      <c r="F8" s="3"/>
      <c r="G8" s="3">
        <v>10</v>
      </c>
      <c r="H8" s="3">
        <v>9</v>
      </c>
      <c r="I8" s="3">
        <v>25</v>
      </c>
      <c r="J8" s="3">
        <v>30</v>
      </c>
      <c r="K8" s="3">
        <v>13</v>
      </c>
      <c r="L8" s="3"/>
      <c r="M8" s="3">
        <v>9</v>
      </c>
      <c r="N8" s="3"/>
      <c r="O8" s="3">
        <v>25</v>
      </c>
      <c r="P8" s="3">
        <v>30</v>
      </c>
      <c r="Q8" s="3">
        <v>10</v>
      </c>
      <c r="R8" s="3"/>
      <c r="S8" s="3">
        <v>10</v>
      </c>
      <c r="T8" s="16">
        <f>SUM(E8:S8)</f>
        <v>171</v>
      </c>
      <c r="U8" s="27"/>
      <c r="V8" s="10"/>
    </row>
    <row r="9" spans="1:23">
      <c r="A9" s="30" t="s">
        <v>306</v>
      </c>
      <c r="B9" s="43">
        <v>6</v>
      </c>
      <c r="C9" s="39" t="s">
        <v>240</v>
      </c>
      <c r="D9" s="3" t="s">
        <v>241</v>
      </c>
      <c r="E9" s="3">
        <v>10</v>
      </c>
      <c r="F9" s="3">
        <v>9</v>
      </c>
      <c r="G9" s="3"/>
      <c r="H9" s="3">
        <v>9</v>
      </c>
      <c r="I9" s="3">
        <v>25</v>
      </c>
      <c r="J9" s="3">
        <v>30</v>
      </c>
      <c r="K9" s="3">
        <v>13</v>
      </c>
      <c r="L9" s="3"/>
      <c r="M9" s="3"/>
      <c r="N9" s="3"/>
      <c r="O9" s="3">
        <v>25</v>
      </c>
      <c r="P9" s="3">
        <v>30</v>
      </c>
      <c r="Q9" s="3">
        <v>10</v>
      </c>
      <c r="R9" s="3"/>
      <c r="S9" s="3">
        <v>10</v>
      </c>
      <c r="T9" s="16">
        <f>SUM(E9:S9)</f>
        <v>171</v>
      </c>
      <c r="U9" s="27"/>
      <c r="V9" s="10"/>
    </row>
    <row r="10" spans="1:23">
      <c r="A10" s="30" t="s">
        <v>307</v>
      </c>
      <c r="B10" s="43">
        <v>8</v>
      </c>
      <c r="C10" s="45" t="s">
        <v>348</v>
      </c>
      <c r="D10" s="3" t="s">
        <v>349</v>
      </c>
      <c r="E10" s="3">
        <v>5</v>
      </c>
      <c r="F10" s="3">
        <v>9</v>
      </c>
      <c r="G10" s="3">
        <v>10</v>
      </c>
      <c r="H10" s="3"/>
      <c r="I10" s="3">
        <v>25</v>
      </c>
      <c r="J10" s="3">
        <v>30</v>
      </c>
      <c r="K10" s="3">
        <v>13</v>
      </c>
      <c r="L10" s="3"/>
      <c r="M10" s="3">
        <v>9</v>
      </c>
      <c r="N10" s="3"/>
      <c r="O10" s="3">
        <v>25</v>
      </c>
      <c r="P10" s="3"/>
      <c r="Q10" s="3">
        <v>10</v>
      </c>
      <c r="R10" s="3"/>
      <c r="S10" s="3">
        <v>10</v>
      </c>
      <c r="T10" s="16">
        <f>SUM(E10:S10)</f>
        <v>146</v>
      </c>
      <c r="U10" s="27"/>
      <c r="V10" s="10"/>
    </row>
    <row r="11" spans="1:23">
      <c r="A11" s="30" t="s">
        <v>308</v>
      </c>
      <c r="B11" s="43">
        <v>9</v>
      </c>
      <c r="C11" s="39" t="s">
        <v>193</v>
      </c>
      <c r="D11" s="3" t="s">
        <v>108</v>
      </c>
      <c r="E11" s="3">
        <v>5</v>
      </c>
      <c r="F11" s="3"/>
      <c r="G11" s="3">
        <v>10</v>
      </c>
      <c r="H11" s="3"/>
      <c r="I11" s="3">
        <v>25</v>
      </c>
      <c r="J11" s="3">
        <v>30</v>
      </c>
      <c r="K11" s="3"/>
      <c r="L11" s="3"/>
      <c r="M11" s="3"/>
      <c r="N11" s="3"/>
      <c r="O11" s="3">
        <v>25</v>
      </c>
      <c r="P11" s="3">
        <v>30</v>
      </c>
      <c r="Q11" s="3">
        <v>10</v>
      </c>
      <c r="R11" s="3"/>
      <c r="S11" s="3">
        <v>10</v>
      </c>
      <c r="T11" s="16">
        <f>SUM(E11:S11)</f>
        <v>145</v>
      </c>
      <c r="U11" s="27"/>
      <c r="V11" s="10"/>
    </row>
    <row r="12" spans="1:23">
      <c r="A12" s="30" t="s">
        <v>12</v>
      </c>
      <c r="B12" s="43">
        <v>10</v>
      </c>
      <c r="C12" s="45" t="s">
        <v>279</v>
      </c>
      <c r="D12" s="3" t="s">
        <v>280</v>
      </c>
      <c r="E12" s="3"/>
      <c r="F12" s="3"/>
      <c r="G12" s="3"/>
      <c r="H12" s="3"/>
      <c r="I12" s="3">
        <v>25</v>
      </c>
      <c r="J12" s="3">
        <v>30</v>
      </c>
      <c r="K12" s="3">
        <v>13</v>
      </c>
      <c r="L12" s="3"/>
      <c r="M12" s="3"/>
      <c r="N12" s="3"/>
      <c r="O12" s="3">
        <v>25</v>
      </c>
      <c r="P12" s="3">
        <v>30</v>
      </c>
      <c r="Q12" s="3">
        <v>10</v>
      </c>
      <c r="R12" s="3"/>
      <c r="S12" s="3">
        <v>10</v>
      </c>
      <c r="T12" s="16">
        <f>SUM(E12:S12)</f>
        <v>143</v>
      </c>
      <c r="U12" s="27"/>
    </row>
    <row r="13" spans="1:23">
      <c r="A13" s="30" t="s">
        <v>15</v>
      </c>
      <c r="B13" s="43">
        <v>11</v>
      </c>
      <c r="C13" s="39" t="s">
        <v>237</v>
      </c>
      <c r="D13" s="3" t="s">
        <v>6</v>
      </c>
      <c r="E13" s="3">
        <v>10</v>
      </c>
      <c r="F13" s="3">
        <v>9</v>
      </c>
      <c r="G13" s="3">
        <v>10</v>
      </c>
      <c r="H13" s="3">
        <v>9</v>
      </c>
      <c r="I13" s="3">
        <v>25</v>
      </c>
      <c r="J13" s="3">
        <v>30</v>
      </c>
      <c r="K13" s="3"/>
      <c r="L13" s="3"/>
      <c r="M13" s="3"/>
      <c r="N13" s="3"/>
      <c r="O13" s="3">
        <v>25</v>
      </c>
      <c r="P13" s="3"/>
      <c r="Q13" s="3">
        <v>10</v>
      </c>
      <c r="R13" s="3"/>
      <c r="S13" s="3">
        <v>10</v>
      </c>
      <c r="T13" s="16">
        <f>SUM(E13:S13)</f>
        <v>138</v>
      </c>
      <c r="U13" s="27"/>
    </row>
    <row r="14" spans="1:23">
      <c r="A14" s="30" t="s">
        <v>16</v>
      </c>
      <c r="B14" s="43">
        <v>12</v>
      </c>
      <c r="C14" s="45" t="s">
        <v>288</v>
      </c>
      <c r="D14" s="3" t="s">
        <v>289</v>
      </c>
      <c r="E14" s="3">
        <v>10</v>
      </c>
      <c r="F14" s="3">
        <v>9</v>
      </c>
      <c r="G14" s="3">
        <v>10</v>
      </c>
      <c r="H14" s="3">
        <v>9</v>
      </c>
      <c r="I14" s="3">
        <v>25</v>
      </c>
      <c r="J14" s="3"/>
      <c r="K14" s="3"/>
      <c r="L14" s="3"/>
      <c r="M14" s="3">
        <v>9</v>
      </c>
      <c r="N14" s="3"/>
      <c r="O14" s="3">
        <v>25</v>
      </c>
      <c r="P14" s="3">
        <v>30</v>
      </c>
      <c r="Q14" s="3">
        <v>10</v>
      </c>
      <c r="R14" s="3"/>
      <c r="S14" s="3"/>
      <c r="T14" s="16">
        <f>SUM(E14:S14)</f>
        <v>137</v>
      </c>
      <c r="U14" s="27"/>
    </row>
    <row r="15" spans="1:23">
      <c r="A15" s="30" t="s">
        <v>19</v>
      </c>
      <c r="B15" s="43">
        <v>13</v>
      </c>
      <c r="C15" s="39" t="s">
        <v>222</v>
      </c>
      <c r="D15" s="3" t="s">
        <v>36</v>
      </c>
      <c r="E15" s="3">
        <v>10</v>
      </c>
      <c r="F15" s="3"/>
      <c r="G15" s="3">
        <v>10</v>
      </c>
      <c r="H15" s="3"/>
      <c r="I15" s="3">
        <v>25</v>
      </c>
      <c r="J15" s="3">
        <v>30</v>
      </c>
      <c r="K15" s="3">
        <v>13</v>
      </c>
      <c r="L15" s="3"/>
      <c r="M15" s="3"/>
      <c r="N15" s="3"/>
      <c r="O15" s="3">
        <v>25</v>
      </c>
      <c r="P15" s="3"/>
      <c r="Q15" s="3">
        <v>10</v>
      </c>
      <c r="R15" s="3"/>
      <c r="S15" s="3">
        <v>10</v>
      </c>
      <c r="T15" s="16">
        <f>SUM(E15:S15)</f>
        <v>133</v>
      </c>
      <c r="U15" s="27"/>
    </row>
    <row r="16" spans="1:23">
      <c r="A16" s="30" t="s">
        <v>20</v>
      </c>
      <c r="B16" s="43">
        <v>14</v>
      </c>
      <c r="C16" s="3" t="s">
        <v>413</v>
      </c>
      <c r="D16" s="3" t="s">
        <v>390</v>
      </c>
      <c r="E16" s="3">
        <v>10</v>
      </c>
      <c r="F16" s="3">
        <v>9</v>
      </c>
      <c r="G16" s="3">
        <v>10</v>
      </c>
      <c r="H16" s="3"/>
      <c r="I16" s="3">
        <v>25</v>
      </c>
      <c r="J16" s="3">
        <v>30</v>
      </c>
      <c r="K16" s="3">
        <v>13</v>
      </c>
      <c r="L16" s="3"/>
      <c r="M16" s="3"/>
      <c r="N16" s="3"/>
      <c r="O16" s="3">
        <v>25</v>
      </c>
      <c r="P16" s="3"/>
      <c r="Q16" s="3">
        <v>10</v>
      </c>
      <c r="R16" s="3"/>
      <c r="S16" s="3"/>
      <c r="T16" s="16">
        <f>SUM(E16:S16)</f>
        <v>132</v>
      </c>
      <c r="U16" s="27"/>
    </row>
    <row r="17" spans="1:21">
      <c r="A17" s="30" t="s">
        <v>22</v>
      </c>
      <c r="B17" s="43">
        <v>15</v>
      </c>
      <c r="C17" s="45" t="s">
        <v>351</v>
      </c>
      <c r="D17" s="3" t="s">
        <v>95</v>
      </c>
      <c r="E17" s="3">
        <v>10</v>
      </c>
      <c r="F17" s="3">
        <v>9</v>
      </c>
      <c r="G17" s="3">
        <v>10</v>
      </c>
      <c r="H17" s="3"/>
      <c r="I17" s="3">
        <v>25</v>
      </c>
      <c r="J17" s="3"/>
      <c r="K17" s="3"/>
      <c r="L17" s="3"/>
      <c r="M17" s="3"/>
      <c r="N17" s="3"/>
      <c r="O17" s="3">
        <v>25</v>
      </c>
      <c r="P17" s="3">
        <v>30</v>
      </c>
      <c r="Q17" s="3">
        <v>10</v>
      </c>
      <c r="R17" s="3"/>
      <c r="S17" s="3">
        <v>10</v>
      </c>
      <c r="T17" s="16">
        <f>SUM(E17:S17)</f>
        <v>129</v>
      </c>
      <c r="U17" s="27"/>
    </row>
    <row r="18" spans="1:21">
      <c r="A18" s="30" t="s">
        <v>25</v>
      </c>
      <c r="B18" s="43">
        <v>16</v>
      </c>
      <c r="C18" s="39" t="s">
        <v>38</v>
      </c>
      <c r="D18" s="3" t="s">
        <v>39</v>
      </c>
      <c r="E18" s="3">
        <v>10</v>
      </c>
      <c r="F18" s="3">
        <v>9</v>
      </c>
      <c r="G18" s="3">
        <v>10</v>
      </c>
      <c r="H18" s="3">
        <v>9</v>
      </c>
      <c r="I18" s="3">
        <v>25</v>
      </c>
      <c r="J18" s="3">
        <v>30</v>
      </c>
      <c r="K18" s="3"/>
      <c r="L18" s="3"/>
      <c r="M18" s="3"/>
      <c r="N18" s="3"/>
      <c r="O18" s="3">
        <v>25</v>
      </c>
      <c r="P18" s="3"/>
      <c r="Q18" s="3">
        <v>10</v>
      </c>
      <c r="R18" s="3"/>
      <c r="S18" s="3"/>
      <c r="T18" s="16">
        <f>SUM(E18:S18)</f>
        <v>128</v>
      </c>
      <c r="U18" s="27"/>
    </row>
    <row r="19" spans="1:21">
      <c r="A19" s="30" t="s">
        <v>28</v>
      </c>
      <c r="B19" s="43">
        <v>17</v>
      </c>
      <c r="C19" s="45" t="s">
        <v>247</v>
      </c>
      <c r="D19" s="3" t="s">
        <v>166</v>
      </c>
      <c r="E19" s="3">
        <v>10</v>
      </c>
      <c r="F19" s="3">
        <v>9</v>
      </c>
      <c r="G19" s="3">
        <v>10</v>
      </c>
      <c r="H19" s="3">
        <v>9</v>
      </c>
      <c r="I19" s="3">
        <v>25</v>
      </c>
      <c r="J19" s="3">
        <v>30</v>
      </c>
      <c r="K19" s="3">
        <v>13</v>
      </c>
      <c r="L19" s="3"/>
      <c r="M19" s="3"/>
      <c r="N19" s="3"/>
      <c r="O19" s="3"/>
      <c r="P19" s="3"/>
      <c r="Q19" s="3">
        <v>10</v>
      </c>
      <c r="R19" s="3"/>
      <c r="S19" s="3">
        <v>10</v>
      </c>
      <c r="T19" s="16">
        <f>SUM(E19:S19)</f>
        <v>126</v>
      </c>
      <c r="U19" s="27"/>
    </row>
    <row r="20" spans="1:21">
      <c r="A20" s="30" t="s">
        <v>31</v>
      </c>
      <c r="B20" s="43">
        <v>18</v>
      </c>
      <c r="C20" s="39" t="s">
        <v>92</v>
      </c>
      <c r="D20" s="3" t="s">
        <v>93</v>
      </c>
      <c r="E20" s="3">
        <v>10</v>
      </c>
      <c r="F20" s="3"/>
      <c r="G20" s="3">
        <v>10</v>
      </c>
      <c r="H20" s="3"/>
      <c r="I20" s="3">
        <v>25</v>
      </c>
      <c r="J20" s="3">
        <v>30</v>
      </c>
      <c r="K20" s="3"/>
      <c r="L20" s="3"/>
      <c r="M20" s="3"/>
      <c r="N20" s="3"/>
      <c r="O20" s="3">
        <v>25</v>
      </c>
      <c r="P20" s="3"/>
      <c r="Q20" s="3">
        <v>10</v>
      </c>
      <c r="R20" s="3"/>
      <c r="S20" s="3">
        <v>10</v>
      </c>
      <c r="T20" s="16">
        <f>SUM(E20:S20)</f>
        <v>120</v>
      </c>
      <c r="U20" s="27"/>
    </row>
    <row r="21" spans="1:21">
      <c r="A21" s="30" t="s">
        <v>32</v>
      </c>
      <c r="B21" s="43">
        <v>19</v>
      </c>
      <c r="C21" s="45" t="s">
        <v>350</v>
      </c>
      <c r="D21" s="3" t="s">
        <v>30</v>
      </c>
      <c r="E21" s="3"/>
      <c r="F21" s="3">
        <v>9</v>
      </c>
      <c r="G21" s="3">
        <v>10</v>
      </c>
      <c r="H21" s="3"/>
      <c r="I21" s="3">
        <v>25</v>
      </c>
      <c r="J21" s="3">
        <v>30</v>
      </c>
      <c r="K21" s="3"/>
      <c r="L21" s="3"/>
      <c r="M21" s="3"/>
      <c r="N21" s="3"/>
      <c r="O21" s="3">
        <v>25</v>
      </c>
      <c r="P21" s="3"/>
      <c r="Q21" s="3">
        <v>10</v>
      </c>
      <c r="R21" s="3"/>
      <c r="S21" s="3">
        <v>10</v>
      </c>
      <c r="T21" s="16">
        <f>SUM(E21:S21)</f>
        <v>119</v>
      </c>
      <c r="U21" s="27"/>
    </row>
    <row r="22" spans="1:21">
      <c r="A22" s="30" t="s">
        <v>35</v>
      </c>
      <c r="B22" s="43">
        <v>20</v>
      </c>
      <c r="C22" s="3" t="s">
        <v>393</v>
      </c>
      <c r="D22" s="3" t="s">
        <v>394</v>
      </c>
      <c r="E22" s="8">
        <v>10</v>
      </c>
      <c r="F22" s="3"/>
      <c r="G22" s="8">
        <v>10</v>
      </c>
      <c r="H22" s="8"/>
      <c r="I22" s="3">
        <v>25</v>
      </c>
      <c r="J22" s="3">
        <v>30</v>
      </c>
      <c r="K22" s="8"/>
      <c r="L22" s="8"/>
      <c r="M22" s="8"/>
      <c r="N22" s="8"/>
      <c r="O22" s="3">
        <v>25</v>
      </c>
      <c r="P22" s="8"/>
      <c r="Q22" s="8"/>
      <c r="R22" s="8"/>
      <c r="S22" s="8">
        <v>10</v>
      </c>
      <c r="T22" s="16">
        <f>SUM(E22:S22)</f>
        <v>110</v>
      </c>
      <c r="U22" s="27"/>
    </row>
    <row r="23" spans="1:21">
      <c r="A23" s="30" t="s">
        <v>53</v>
      </c>
      <c r="B23" s="43">
        <v>21</v>
      </c>
      <c r="C23" s="3" t="s">
        <v>275</v>
      </c>
      <c r="D23" s="3" t="s">
        <v>276</v>
      </c>
      <c r="E23" s="3"/>
      <c r="F23" s="3"/>
      <c r="G23" s="3">
        <v>10</v>
      </c>
      <c r="H23" s="3"/>
      <c r="I23" s="3">
        <v>25</v>
      </c>
      <c r="J23" s="3">
        <v>30</v>
      </c>
      <c r="K23" s="3"/>
      <c r="L23" s="3"/>
      <c r="M23" s="3"/>
      <c r="N23" s="3"/>
      <c r="O23" s="3">
        <v>25</v>
      </c>
      <c r="P23" s="3"/>
      <c r="Q23" s="3">
        <v>10</v>
      </c>
      <c r="R23" s="3"/>
      <c r="S23" s="3"/>
      <c r="T23" s="16">
        <f>SUM(E23:S23)</f>
        <v>100</v>
      </c>
      <c r="U23" s="27"/>
    </row>
    <row r="24" spans="1:21">
      <c r="A24" s="30" t="s">
        <v>51</v>
      </c>
      <c r="B24" s="43">
        <v>21</v>
      </c>
      <c r="C24" s="3" t="s">
        <v>86</v>
      </c>
      <c r="D24" s="3" t="s">
        <v>87</v>
      </c>
      <c r="E24" s="3"/>
      <c r="F24" s="3"/>
      <c r="G24" s="3">
        <v>10</v>
      </c>
      <c r="H24" s="3"/>
      <c r="I24" s="3">
        <v>25</v>
      </c>
      <c r="J24" s="3">
        <v>30</v>
      </c>
      <c r="K24" s="3"/>
      <c r="L24" s="3"/>
      <c r="M24" s="3"/>
      <c r="N24" s="3"/>
      <c r="O24" s="3">
        <v>25</v>
      </c>
      <c r="P24" s="3"/>
      <c r="Q24" s="3">
        <v>10</v>
      </c>
      <c r="R24" s="3"/>
      <c r="S24" s="3"/>
      <c r="T24" s="16">
        <f>SUM(E24:S24)</f>
        <v>100</v>
      </c>
    </row>
    <row r="25" spans="1:21">
      <c r="A25" s="30" t="s">
        <v>48</v>
      </c>
      <c r="B25" s="43">
        <v>21</v>
      </c>
      <c r="C25" s="39" t="s">
        <v>123</v>
      </c>
      <c r="D25" s="3" t="s">
        <v>125</v>
      </c>
      <c r="E25" s="3">
        <v>10</v>
      </c>
      <c r="F25" s="3">
        <v>9</v>
      </c>
      <c r="G25" s="3"/>
      <c r="H25" s="3">
        <v>9</v>
      </c>
      <c r="I25" s="3"/>
      <c r="J25" s="3"/>
      <c r="K25" s="3">
        <v>13</v>
      </c>
      <c r="L25" s="3"/>
      <c r="M25" s="3">
        <v>9</v>
      </c>
      <c r="N25" s="3"/>
      <c r="O25" s="3"/>
      <c r="P25" s="3">
        <v>30</v>
      </c>
      <c r="Q25" s="3"/>
      <c r="R25" s="3">
        <v>10</v>
      </c>
      <c r="S25" s="3">
        <v>10</v>
      </c>
      <c r="T25" s="16">
        <f>SUM(E25:S25)</f>
        <v>100</v>
      </c>
    </row>
    <row r="26" spans="1:21">
      <c r="A26" s="30" t="s">
        <v>45</v>
      </c>
      <c r="B26" s="43">
        <v>21</v>
      </c>
      <c r="C26" s="39" t="s">
        <v>153</v>
      </c>
      <c r="D26" s="3" t="s">
        <v>521</v>
      </c>
      <c r="E26" s="3"/>
      <c r="F26" s="3"/>
      <c r="G26" s="3">
        <v>10</v>
      </c>
      <c r="H26" s="3"/>
      <c r="I26" s="3">
        <v>25</v>
      </c>
      <c r="J26" s="3">
        <v>30</v>
      </c>
      <c r="K26" s="3"/>
      <c r="L26" s="3"/>
      <c r="M26" s="3"/>
      <c r="N26" s="3"/>
      <c r="O26" s="3">
        <v>25</v>
      </c>
      <c r="P26" s="3"/>
      <c r="Q26" s="3">
        <v>10</v>
      </c>
      <c r="R26" s="3"/>
      <c r="S26" s="3"/>
      <c r="T26" s="16">
        <f>SUM(E26:S26)</f>
        <v>100</v>
      </c>
    </row>
    <row r="27" spans="1:21">
      <c r="A27" s="30" t="s">
        <v>43</v>
      </c>
      <c r="B27" s="43">
        <v>21</v>
      </c>
      <c r="C27" s="39" t="s">
        <v>180</v>
      </c>
      <c r="D27" s="3" t="s">
        <v>181</v>
      </c>
      <c r="E27" s="15"/>
      <c r="F27" s="3"/>
      <c r="G27" s="15">
        <v>10</v>
      </c>
      <c r="H27" s="15"/>
      <c r="I27" s="3">
        <v>25</v>
      </c>
      <c r="J27" s="3">
        <v>30</v>
      </c>
      <c r="K27" s="15"/>
      <c r="L27" s="15"/>
      <c r="M27" s="15"/>
      <c r="N27" s="3"/>
      <c r="O27" s="3">
        <v>25</v>
      </c>
      <c r="P27" s="15"/>
      <c r="Q27" s="15">
        <v>10</v>
      </c>
      <c r="R27" s="15"/>
      <c r="S27" s="15"/>
      <c r="T27" s="16">
        <f>SUM(E27:S27)</f>
        <v>100</v>
      </c>
    </row>
    <row r="28" spans="1:21">
      <c r="A28" s="30" t="s">
        <v>40</v>
      </c>
      <c r="B28" s="43">
        <v>21</v>
      </c>
      <c r="C28" s="3" t="s">
        <v>393</v>
      </c>
      <c r="D28" s="3" t="s">
        <v>332</v>
      </c>
      <c r="E28" s="3">
        <v>10</v>
      </c>
      <c r="F28" s="3"/>
      <c r="G28" s="3">
        <v>10</v>
      </c>
      <c r="H28" s="3"/>
      <c r="I28" s="3">
        <v>25</v>
      </c>
      <c r="J28" s="3">
        <v>30</v>
      </c>
      <c r="K28" s="3"/>
      <c r="L28" s="3"/>
      <c r="M28" s="3"/>
      <c r="N28" s="3"/>
      <c r="O28" s="3">
        <v>25</v>
      </c>
      <c r="P28" s="3"/>
      <c r="Q28" s="3"/>
      <c r="R28" s="3"/>
      <c r="S28" s="3"/>
      <c r="T28" s="16">
        <f>SUM(E28:S28)</f>
        <v>100</v>
      </c>
    </row>
    <row r="29" spans="1:21">
      <c r="A29" s="30" t="s">
        <v>37</v>
      </c>
      <c r="B29" s="43">
        <v>21</v>
      </c>
      <c r="C29" s="39" t="s">
        <v>264</v>
      </c>
      <c r="D29" s="3" t="s">
        <v>14</v>
      </c>
      <c r="E29" s="3">
        <v>10</v>
      </c>
      <c r="F29" s="3">
        <v>9</v>
      </c>
      <c r="G29" s="3"/>
      <c r="H29" s="3">
        <v>9</v>
      </c>
      <c r="I29" s="3"/>
      <c r="J29" s="3"/>
      <c r="K29" s="3">
        <v>13</v>
      </c>
      <c r="L29" s="3"/>
      <c r="M29" s="3">
        <v>9</v>
      </c>
      <c r="N29" s="3"/>
      <c r="O29" s="3"/>
      <c r="P29" s="3">
        <v>30</v>
      </c>
      <c r="Q29" s="3"/>
      <c r="R29" s="3">
        <v>10</v>
      </c>
      <c r="S29" s="3">
        <v>10</v>
      </c>
      <c r="T29" s="16">
        <f>SUM(E29:S29)</f>
        <v>100</v>
      </c>
    </row>
    <row r="30" spans="1:21">
      <c r="A30" s="30" t="s">
        <v>56</v>
      </c>
      <c r="B30" s="43">
        <v>28</v>
      </c>
      <c r="C30" s="45" t="s">
        <v>110</v>
      </c>
      <c r="D30" s="3" t="s">
        <v>475</v>
      </c>
      <c r="E30" s="3">
        <v>10</v>
      </c>
      <c r="F30" s="3"/>
      <c r="G30" s="3">
        <v>10</v>
      </c>
      <c r="H30" s="3">
        <v>9</v>
      </c>
      <c r="I30" s="3">
        <v>25</v>
      </c>
      <c r="J30" s="3">
        <v>30</v>
      </c>
      <c r="K30" s="3"/>
      <c r="L30" s="3"/>
      <c r="M30" s="3"/>
      <c r="N30" s="3"/>
      <c r="O30" s="3"/>
      <c r="P30" s="3"/>
      <c r="Q30" s="3"/>
      <c r="R30" s="3"/>
      <c r="S30" s="3">
        <v>10</v>
      </c>
      <c r="T30" s="16">
        <f>SUM(E30:S30)</f>
        <v>94</v>
      </c>
      <c r="U30" s="27"/>
    </row>
    <row r="31" spans="1:21">
      <c r="A31" s="30" t="s">
        <v>58</v>
      </c>
      <c r="B31" s="43">
        <v>29</v>
      </c>
      <c r="C31" s="39" t="s">
        <v>255</v>
      </c>
      <c r="D31" s="3" t="s">
        <v>256</v>
      </c>
      <c r="E31" s="3">
        <v>10</v>
      </c>
      <c r="F31" s="3">
        <v>9</v>
      </c>
      <c r="G31" s="3"/>
      <c r="H31" s="3">
        <v>9</v>
      </c>
      <c r="I31" s="3"/>
      <c r="J31" s="3"/>
      <c r="K31" s="3"/>
      <c r="L31" s="3"/>
      <c r="M31" s="3">
        <v>9</v>
      </c>
      <c r="N31" s="3"/>
      <c r="O31" s="3"/>
      <c r="P31" s="3">
        <v>30</v>
      </c>
      <c r="Q31" s="3"/>
      <c r="R31" s="3">
        <v>10</v>
      </c>
      <c r="S31" s="3">
        <v>10</v>
      </c>
      <c r="T31" s="16">
        <f>SUM(E31:S31)</f>
        <v>87</v>
      </c>
    </row>
    <row r="32" spans="1:21">
      <c r="A32" s="30" t="s">
        <v>61</v>
      </c>
      <c r="B32" s="43">
        <v>30</v>
      </c>
      <c r="C32" s="45" t="s">
        <v>344</v>
      </c>
      <c r="D32" s="3" t="s">
        <v>345</v>
      </c>
      <c r="E32" s="3">
        <v>10</v>
      </c>
      <c r="F32" s="3">
        <v>9</v>
      </c>
      <c r="G32" s="3"/>
      <c r="H32" s="3">
        <v>9</v>
      </c>
      <c r="I32" s="3"/>
      <c r="J32" s="3"/>
      <c r="K32" s="3">
        <v>13</v>
      </c>
      <c r="L32" s="3"/>
      <c r="M32" s="3"/>
      <c r="N32" s="3"/>
      <c r="O32" s="3"/>
      <c r="P32" s="3">
        <v>30</v>
      </c>
      <c r="Q32" s="3"/>
      <c r="R32" s="3"/>
      <c r="S32" s="3">
        <v>10</v>
      </c>
      <c r="T32" s="16">
        <f>SUM(E32:S32)</f>
        <v>81</v>
      </c>
      <c r="U32" s="27"/>
    </row>
    <row r="33" spans="1:21">
      <c r="A33" s="30" t="s">
        <v>64</v>
      </c>
      <c r="B33" s="43">
        <v>31</v>
      </c>
      <c r="C33" s="3" t="s">
        <v>373</v>
      </c>
      <c r="D33" s="3" t="s">
        <v>5</v>
      </c>
      <c r="E33" s="3">
        <v>10</v>
      </c>
      <c r="F33" s="3"/>
      <c r="G33" s="3"/>
      <c r="H33" s="3">
        <v>9</v>
      </c>
      <c r="I33" s="3">
        <v>25</v>
      </c>
      <c r="J33" s="3"/>
      <c r="K33" s="3">
        <v>13</v>
      </c>
      <c r="L33" s="3"/>
      <c r="M33" s="3">
        <v>9</v>
      </c>
      <c r="N33" s="3"/>
      <c r="O33" s="3"/>
      <c r="P33" s="3"/>
      <c r="Q33" s="3"/>
      <c r="R33" s="3"/>
      <c r="S33" s="3">
        <v>10</v>
      </c>
      <c r="T33" s="16">
        <f>SUM(E33:S33)</f>
        <v>76</v>
      </c>
    </row>
    <row r="34" spans="1:21">
      <c r="A34" s="30" t="s">
        <v>68</v>
      </c>
      <c r="B34" s="43">
        <v>32</v>
      </c>
      <c r="C34" s="3" t="s">
        <v>140</v>
      </c>
      <c r="D34" s="3" t="s">
        <v>141</v>
      </c>
      <c r="E34" s="3">
        <v>5</v>
      </c>
      <c r="F34" s="3"/>
      <c r="G34" s="3">
        <v>10</v>
      </c>
      <c r="H34" s="3"/>
      <c r="I34" s="3">
        <v>25</v>
      </c>
      <c r="J34" s="3"/>
      <c r="K34" s="3"/>
      <c r="L34" s="3"/>
      <c r="M34" s="3"/>
      <c r="N34" s="3"/>
      <c r="O34" s="3">
        <v>25</v>
      </c>
      <c r="P34" s="3"/>
      <c r="Q34" s="3">
        <v>10</v>
      </c>
      <c r="R34" s="3"/>
      <c r="S34" s="3"/>
      <c r="T34" s="16">
        <f>SUM(E34:S34)</f>
        <v>75</v>
      </c>
    </row>
    <row r="35" spans="1:21">
      <c r="A35" s="30" t="s">
        <v>65</v>
      </c>
      <c r="B35" s="43">
        <v>32</v>
      </c>
      <c r="C35" s="3" t="s">
        <v>516</v>
      </c>
      <c r="D35" s="3" t="s">
        <v>63</v>
      </c>
      <c r="E35" s="3"/>
      <c r="F35" s="3"/>
      <c r="G35" s="3">
        <v>10</v>
      </c>
      <c r="H35" s="3"/>
      <c r="I35" s="3">
        <v>25</v>
      </c>
      <c r="J35" s="3">
        <v>30</v>
      </c>
      <c r="K35" s="3"/>
      <c r="L35" s="3"/>
      <c r="M35" s="3"/>
      <c r="N35" s="3"/>
      <c r="O35" s="3"/>
      <c r="P35" s="3"/>
      <c r="Q35" s="3">
        <v>10</v>
      </c>
      <c r="R35" s="3"/>
      <c r="S35" s="3"/>
      <c r="T35" s="16">
        <f>SUM(E35:S35)</f>
        <v>75</v>
      </c>
    </row>
    <row r="36" spans="1:21">
      <c r="A36" s="30" t="s">
        <v>71</v>
      </c>
      <c r="B36" s="43">
        <v>34</v>
      </c>
      <c r="C36" s="3" t="s">
        <v>338</v>
      </c>
      <c r="D36" s="3" t="s">
        <v>339</v>
      </c>
      <c r="E36" s="3"/>
      <c r="F36" s="3"/>
      <c r="G36" s="3">
        <v>10</v>
      </c>
      <c r="H36" s="3"/>
      <c r="I36" s="3">
        <v>25</v>
      </c>
      <c r="J36" s="3"/>
      <c r="K36" s="3"/>
      <c r="L36" s="3"/>
      <c r="M36" s="3"/>
      <c r="N36" s="3"/>
      <c r="O36" s="3">
        <v>25</v>
      </c>
      <c r="P36" s="3"/>
      <c r="Q36" s="3">
        <v>10</v>
      </c>
      <c r="R36" s="3"/>
      <c r="S36" s="3"/>
      <c r="T36" s="16">
        <f>SUM(E36:S36)</f>
        <v>70</v>
      </c>
    </row>
    <row r="37" spans="1:21">
      <c r="A37" s="30" t="s">
        <v>74</v>
      </c>
      <c r="B37" s="43">
        <v>35</v>
      </c>
      <c r="C37" s="39" t="s">
        <v>316</v>
      </c>
      <c r="D37" s="3" t="s">
        <v>317</v>
      </c>
      <c r="E37" s="8">
        <v>10</v>
      </c>
      <c r="F37" s="8"/>
      <c r="G37" s="8">
        <v>10</v>
      </c>
      <c r="H37" s="3">
        <v>9</v>
      </c>
      <c r="I37" s="8"/>
      <c r="J37" s="3">
        <v>30</v>
      </c>
      <c r="K37" s="8"/>
      <c r="L37" s="8"/>
      <c r="M37" s="8"/>
      <c r="N37" s="8"/>
      <c r="O37" s="8"/>
      <c r="P37" s="8"/>
      <c r="Q37" s="8">
        <v>10</v>
      </c>
      <c r="R37" s="8"/>
      <c r="S37" s="8"/>
      <c r="T37" s="16">
        <f>SUM(E37:S37)</f>
        <v>69</v>
      </c>
      <c r="U37" s="27"/>
    </row>
    <row r="38" spans="1:21">
      <c r="A38" s="30" t="s">
        <v>75</v>
      </c>
      <c r="B38" s="43">
        <v>36</v>
      </c>
      <c r="C38" s="45" t="s">
        <v>515</v>
      </c>
      <c r="D38" s="3" t="s">
        <v>412</v>
      </c>
      <c r="E38" s="3"/>
      <c r="F38" s="3">
        <v>9</v>
      </c>
      <c r="G38" s="3"/>
      <c r="H38" s="3">
        <v>9</v>
      </c>
      <c r="I38" s="3"/>
      <c r="J38" s="3"/>
      <c r="K38" s="3"/>
      <c r="L38" s="3"/>
      <c r="M38" s="3">
        <v>9</v>
      </c>
      <c r="N38" s="3"/>
      <c r="O38" s="3"/>
      <c r="P38" s="3">
        <v>30</v>
      </c>
      <c r="Q38" s="3">
        <v>10</v>
      </c>
      <c r="R38" s="3"/>
      <c r="S38" s="3"/>
      <c r="T38" s="16">
        <f>SUM(E38:S38)</f>
        <v>67</v>
      </c>
    </row>
    <row r="39" spans="1:21">
      <c r="A39" s="30" t="s">
        <v>77</v>
      </c>
      <c r="B39" s="43">
        <v>37</v>
      </c>
      <c r="C39" s="3" t="s">
        <v>8</v>
      </c>
      <c r="D39" s="3" t="s">
        <v>9</v>
      </c>
      <c r="E39" s="3"/>
      <c r="F39" s="3"/>
      <c r="G39" s="3"/>
      <c r="H39" s="3"/>
      <c r="I39" s="3"/>
      <c r="J39" s="3">
        <v>30</v>
      </c>
      <c r="K39" s="3"/>
      <c r="L39" s="3"/>
      <c r="M39" s="3"/>
      <c r="N39" s="3"/>
      <c r="O39" s="3">
        <v>25</v>
      </c>
      <c r="P39" s="3"/>
      <c r="Q39" s="3">
        <v>10</v>
      </c>
      <c r="R39" s="3"/>
      <c r="S39" s="3"/>
      <c r="T39" s="16">
        <f>SUM(E39:S39)</f>
        <v>65</v>
      </c>
    </row>
    <row r="40" spans="1:21">
      <c r="A40" s="30" t="s">
        <v>78</v>
      </c>
      <c r="B40" s="43">
        <v>38</v>
      </c>
      <c r="C40" s="46" t="s">
        <v>316</v>
      </c>
      <c r="D40" s="3" t="s">
        <v>52</v>
      </c>
      <c r="E40" s="3">
        <v>5</v>
      </c>
      <c r="F40" s="3">
        <v>9</v>
      </c>
      <c r="G40" s="3">
        <v>10</v>
      </c>
      <c r="H40" s="3"/>
      <c r="I40" s="3"/>
      <c r="J40" s="3">
        <v>30</v>
      </c>
      <c r="K40" s="3"/>
      <c r="L40" s="3"/>
      <c r="M40" s="3">
        <v>9</v>
      </c>
      <c r="N40" s="3"/>
      <c r="O40" s="3"/>
      <c r="P40" s="3"/>
      <c r="Q40" s="3"/>
      <c r="R40" s="3"/>
      <c r="S40" s="3"/>
      <c r="T40" s="16">
        <f>SUM(E40:S40)</f>
        <v>63</v>
      </c>
    </row>
    <row r="41" spans="1:21">
      <c r="A41" s="30" t="s">
        <v>80</v>
      </c>
      <c r="B41" s="43">
        <v>39</v>
      </c>
      <c r="C41" s="39" t="s">
        <v>384</v>
      </c>
      <c r="D41" s="3" t="s">
        <v>47</v>
      </c>
      <c r="E41" s="3">
        <v>5</v>
      </c>
      <c r="F41" s="3"/>
      <c r="G41" s="3"/>
      <c r="H41" s="3"/>
      <c r="I41" s="3"/>
      <c r="J41" s="3"/>
      <c r="K41" s="3">
        <v>13</v>
      </c>
      <c r="L41" s="3"/>
      <c r="M41" s="3"/>
      <c r="N41" s="3"/>
      <c r="O41" s="3"/>
      <c r="P41" s="3">
        <v>30</v>
      </c>
      <c r="Q41" s="3"/>
      <c r="R41" s="3"/>
      <c r="S41" s="3">
        <v>10</v>
      </c>
      <c r="T41" s="16">
        <f>SUM(E41:S41)</f>
        <v>58</v>
      </c>
    </row>
    <row r="42" spans="1:21">
      <c r="A42" s="30" t="s">
        <v>81</v>
      </c>
      <c r="B42" s="43">
        <v>40</v>
      </c>
      <c r="C42" s="3" t="s">
        <v>240</v>
      </c>
      <c r="D42" s="3" t="s">
        <v>388</v>
      </c>
      <c r="E42" s="3">
        <v>5</v>
      </c>
      <c r="F42" s="3">
        <v>9</v>
      </c>
      <c r="G42" s="3"/>
      <c r="H42" s="3"/>
      <c r="I42" s="3"/>
      <c r="J42" s="3"/>
      <c r="K42" s="3">
        <v>13</v>
      </c>
      <c r="L42" s="3"/>
      <c r="M42" s="3"/>
      <c r="N42" s="3"/>
      <c r="O42" s="3"/>
      <c r="P42" s="3">
        <v>30</v>
      </c>
      <c r="Q42" s="3"/>
      <c r="R42" s="3"/>
      <c r="S42" s="3"/>
      <c r="T42" s="16">
        <f>SUM(E42:S42)</f>
        <v>57</v>
      </c>
    </row>
    <row r="43" spans="1:21">
      <c r="A43" s="30" t="s">
        <v>82</v>
      </c>
      <c r="B43" s="43">
        <v>41</v>
      </c>
      <c r="C43" s="3" t="s">
        <v>389</v>
      </c>
      <c r="D43" s="3" t="s">
        <v>390</v>
      </c>
      <c r="E43" s="3"/>
      <c r="F43" s="3"/>
      <c r="G43" s="3">
        <v>10</v>
      </c>
      <c r="H43" s="3"/>
      <c r="I43" s="3"/>
      <c r="J43" s="3"/>
      <c r="K43" s="3">
        <v>13</v>
      </c>
      <c r="L43" s="3"/>
      <c r="M43" s="3"/>
      <c r="N43" s="3"/>
      <c r="O43" s="3"/>
      <c r="P43" s="3">
        <v>30</v>
      </c>
      <c r="Q43" s="3"/>
      <c r="R43" s="3"/>
      <c r="S43" s="3"/>
      <c r="T43" s="16">
        <f>SUM(E43:S43)</f>
        <v>53</v>
      </c>
    </row>
    <row r="44" spans="1:21">
      <c r="A44" s="30" t="s">
        <v>88</v>
      </c>
      <c r="B44" s="43">
        <v>42</v>
      </c>
      <c r="C44" s="45" t="s">
        <v>132</v>
      </c>
      <c r="D44" s="3" t="s">
        <v>24</v>
      </c>
      <c r="E44" s="3">
        <v>10</v>
      </c>
      <c r="F44" s="3">
        <v>9</v>
      </c>
      <c r="G44" s="3"/>
      <c r="H44" s="3"/>
      <c r="I44" s="3"/>
      <c r="J44" s="3"/>
      <c r="K44" s="3">
        <v>13</v>
      </c>
      <c r="L44" s="3"/>
      <c r="M44" s="3">
        <v>9</v>
      </c>
      <c r="N44" s="3"/>
      <c r="O44" s="3"/>
      <c r="P44" s="3"/>
      <c r="Q44" s="3"/>
      <c r="R44" s="3"/>
      <c r="S44" s="3">
        <v>10</v>
      </c>
      <c r="T44" s="16">
        <f>SUM(E44:S44)</f>
        <v>51</v>
      </c>
    </row>
    <row r="45" spans="1:21">
      <c r="A45" s="30" t="s">
        <v>85</v>
      </c>
      <c r="B45" s="43">
        <v>42</v>
      </c>
      <c r="C45" s="46" t="s">
        <v>260</v>
      </c>
      <c r="D45" s="3" t="s">
        <v>492</v>
      </c>
      <c r="E45" s="3">
        <v>10</v>
      </c>
      <c r="F45" s="3">
        <v>9</v>
      </c>
      <c r="G45" s="3"/>
      <c r="H45" s="3"/>
      <c r="I45" s="3"/>
      <c r="J45" s="3"/>
      <c r="K45" s="3">
        <v>13</v>
      </c>
      <c r="L45" s="3"/>
      <c r="M45" s="3">
        <v>9</v>
      </c>
      <c r="N45" s="3"/>
      <c r="O45" s="3"/>
      <c r="P45" s="3"/>
      <c r="Q45" s="3"/>
      <c r="R45" s="3"/>
      <c r="S45" s="3">
        <v>10</v>
      </c>
      <c r="T45" s="16">
        <f>SUM(E45:S45)</f>
        <v>51</v>
      </c>
      <c r="U45" s="27"/>
    </row>
    <row r="46" spans="1:21">
      <c r="A46" s="30" t="s">
        <v>91</v>
      </c>
      <c r="B46" s="43">
        <v>44</v>
      </c>
      <c r="C46" s="39" t="s">
        <v>235</v>
      </c>
      <c r="D46" s="3" t="s">
        <v>108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>
        <v>30</v>
      </c>
      <c r="Q46" s="3"/>
      <c r="R46" s="3">
        <v>10</v>
      </c>
      <c r="S46" s="3">
        <v>10</v>
      </c>
      <c r="T46" s="16">
        <f>SUM(E46:S46)</f>
        <v>50</v>
      </c>
    </row>
    <row r="47" spans="1:21">
      <c r="A47" s="30" t="s">
        <v>94</v>
      </c>
      <c r="B47" s="43">
        <v>45</v>
      </c>
      <c r="C47" s="45" t="s">
        <v>380</v>
      </c>
      <c r="D47" s="3" t="s">
        <v>357</v>
      </c>
      <c r="E47" s="3"/>
      <c r="F47" s="3"/>
      <c r="G47" s="3"/>
      <c r="H47" s="3">
        <v>9</v>
      </c>
      <c r="I47" s="3"/>
      <c r="J47" s="3"/>
      <c r="K47" s="3"/>
      <c r="L47" s="3"/>
      <c r="M47" s="3"/>
      <c r="N47" s="3"/>
      <c r="O47" s="3"/>
      <c r="P47" s="3">
        <v>30</v>
      </c>
      <c r="Q47" s="3"/>
      <c r="R47" s="3"/>
      <c r="S47" s="3">
        <v>10</v>
      </c>
      <c r="T47" s="16">
        <f>SUM(E47:S47)</f>
        <v>49</v>
      </c>
    </row>
    <row r="48" spans="1:21">
      <c r="A48" s="30" t="s">
        <v>97</v>
      </c>
      <c r="B48" s="43">
        <v>46</v>
      </c>
      <c r="C48" s="39" t="s">
        <v>4</v>
      </c>
      <c r="D48" s="3" t="s">
        <v>5</v>
      </c>
      <c r="E48" s="3">
        <v>10</v>
      </c>
      <c r="F48" s="3">
        <v>9</v>
      </c>
      <c r="G48" s="3"/>
      <c r="H48" s="3">
        <v>9</v>
      </c>
      <c r="I48" s="3"/>
      <c r="J48" s="3"/>
      <c r="K48" s="3"/>
      <c r="L48" s="3"/>
      <c r="M48" s="3"/>
      <c r="N48" s="3"/>
      <c r="O48" s="3"/>
      <c r="P48" s="3"/>
      <c r="Q48" s="3"/>
      <c r="R48" s="3">
        <v>10</v>
      </c>
      <c r="S48" s="3">
        <v>10</v>
      </c>
      <c r="T48" s="16">
        <f>SUM(E48:S48)</f>
        <v>48</v>
      </c>
      <c r="U48" s="27"/>
    </row>
    <row r="49" spans="1:21">
      <c r="A49" s="30" t="s">
        <v>96</v>
      </c>
      <c r="B49" s="43">
        <v>46</v>
      </c>
      <c r="C49" s="3" t="s">
        <v>382</v>
      </c>
      <c r="D49" s="3" t="s">
        <v>67</v>
      </c>
      <c r="E49" s="3"/>
      <c r="F49" s="3"/>
      <c r="G49" s="3"/>
      <c r="H49" s="3">
        <v>9</v>
      </c>
      <c r="I49" s="3"/>
      <c r="J49" s="3"/>
      <c r="K49" s="3"/>
      <c r="L49" s="3"/>
      <c r="M49" s="3">
        <v>9</v>
      </c>
      <c r="N49" s="3"/>
      <c r="O49" s="3"/>
      <c r="P49" s="3">
        <v>30</v>
      </c>
      <c r="Q49" s="3"/>
      <c r="R49" s="3"/>
      <c r="S49" s="3"/>
      <c r="T49" s="16">
        <f>SUM(E49:S49)</f>
        <v>48</v>
      </c>
      <c r="U49" s="27"/>
    </row>
    <row r="50" spans="1:21">
      <c r="A50" s="30" t="s">
        <v>98</v>
      </c>
      <c r="B50" s="43">
        <v>48</v>
      </c>
      <c r="C50" s="45" t="s">
        <v>113</v>
      </c>
      <c r="D50" s="3" t="s">
        <v>90</v>
      </c>
      <c r="E50" s="3">
        <v>5</v>
      </c>
      <c r="F50" s="3">
        <v>9</v>
      </c>
      <c r="G50" s="3"/>
      <c r="H50" s="3"/>
      <c r="I50" s="3"/>
      <c r="J50" s="3"/>
      <c r="K50" s="3">
        <v>13</v>
      </c>
      <c r="L50" s="3"/>
      <c r="M50" s="3">
        <v>9</v>
      </c>
      <c r="N50" s="3"/>
      <c r="O50" s="3"/>
      <c r="P50" s="3"/>
      <c r="Q50" s="3"/>
      <c r="R50" s="3"/>
      <c r="S50" s="3">
        <v>10</v>
      </c>
      <c r="T50" s="16">
        <f>SUM(E50:S50)</f>
        <v>46</v>
      </c>
    </row>
    <row r="51" spans="1:21">
      <c r="A51" s="30" t="s">
        <v>99</v>
      </c>
      <c r="B51" s="43">
        <v>49</v>
      </c>
      <c r="C51" s="3" t="s">
        <v>281</v>
      </c>
      <c r="D51" s="3" t="s">
        <v>282</v>
      </c>
      <c r="E51" s="8"/>
      <c r="F51" s="3"/>
      <c r="G51" s="3">
        <v>10</v>
      </c>
      <c r="H51" s="12"/>
      <c r="I51" s="12"/>
      <c r="J51" s="12"/>
      <c r="K51" s="12"/>
      <c r="L51" s="13"/>
      <c r="M51" s="12"/>
      <c r="N51" s="3"/>
      <c r="O51" s="3">
        <v>25</v>
      </c>
      <c r="P51" s="12"/>
      <c r="Q51" s="12">
        <v>10</v>
      </c>
      <c r="R51" s="12"/>
      <c r="S51" s="12"/>
      <c r="T51" s="16">
        <f>SUM(E51:S51)</f>
        <v>45</v>
      </c>
    </row>
    <row r="52" spans="1:21">
      <c r="A52" s="30" t="s">
        <v>100</v>
      </c>
      <c r="B52" s="43">
        <v>50</v>
      </c>
      <c r="C52" s="3" t="s">
        <v>464</v>
      </c>
      <c r="D52" s="3" t="s">
        <v>6</v>
      </c>
      <c r="E52" s="3">
        <v>5</v>
      </c>
      <c r="F52" s="3">
        <v>9</v>
      </c>
      <c r="G52" s="3"/>
      <c r="H52" s="3"/>
      <c r="I52" s="3"/>
      <c r="J52" s="3"/>
      <c r="K52" s="3"/>
      <c r="L52" s="3"/>
      <c r="M52" s="3"/>
      <c r="N52" s="3"/>
      <c r="O52" s="3"/>
      <c r="P52" s="3">
        <v>30</v>
      </c>
      <c r="Q52" s="3"/>
      <c r="R52" s="3"/>
      <c r="S52" s="3"/>
      <c r="T52" s="16">
        <f>SUM(E52:S52)</f>
        <v>44</v>
      </c>
    </row>
    <row r="53" spans="1:21">
      <c r="A53" s="30" t="s">
        <v>103</v>
      </c>
      <c r="B53" s="43">
        <v>51</v>
      </c>
      <c r="C53" s="39" t="s">
        <v>23</v>
      </c>
      <c r="D53" s="3" t="s">
        <v>24</v>
      </c>
      <c r="E53" s="3"/>
      <c r="F53" s="3"/>
      <c r="G53" s="3"/>
      <c r="H53" s="3"/>
      <c r="I53" s="3"/>
      <c r="J53" s="3"/>
      <c r="K53" s="3">
        <v>13</v>
      </c>
      <c r="L53" s="3"/>
      <c r="M53" s="3"/>
      <c r="N53" s="3"/>
      <c r="O53" s="3"/>
      <c r="P53" s="3">
        <v>30</v>
      </c>
      <c r="Q53" s="3"/>
      <c r="R53" s="3"/>
      <c r="S53" s="3"/>
      <c r="T53" s="16">
        <f>SUM(E53:S53)</f>
        <v>43</v>
      </c>
      <c r="U53" s="27"/>
    </row>
    <row r="54" spans="1:21">
      <c r="A54" s="30" t="s">
        <v>101</v>
      </c>
      <c r="B54" s="43">
        <v>51</v>
      </c>
      <c r="C54" s="39" t="s">
        <v>321</v>
      </c>
      <c r="D54" s="3" t="s">
        <v>130</v>
      </c>
      <c r="E54" s="3"/>
      <c r="F54" s="3"/>
      <c r="G54" s="3"/>
      <c r="H54" s="3"/>
      <c r="I54" s="3"/>
      <c r="J54" s="3"/>
      <c r="K54" s="3">
        <v>13</v>
      </c>
      <c r="L54" s="3"/>
      <c r="M54" s="3"/>
      <c r="N54" s="3"/>
      <c r="O54" s="3"/>
      <c r="P54" s="3">
        <v>30</v>
      </c>
      <c r="Q54" s="38"/>
      <c r="R54" s="3"/>
      <c r="S54" s="3"/>
      <c r="T54" s="16">
        <f>SUM(E54:S54)</f>
        <v>43</v>
      </c>
    </row>
    <row r="55" spans="1:21">
      <c r="A55" s="30" t="s">
        <v>104</v>
      </c>
      <c r="B55" s="43">
        <v>53</v>
      </c>
      <c r="C55" s="46" t="s">
        <v>225</v>
      </c>
      <c r="D55" s="3" t="s">
        <v>47</v>
      </c>
      <c r="E55" s="3">
        <v>10</v>
      </c>
      <c r="F55" s="3">
        <v>9</v>
      </c>
      <c r="G55" s="3"/>
      <c r="H55" s="3"/>
      <c r="I55" s="3"/>
      <c r="J55" s="3"/>
      <c r="K55" s="3">
        <v>13</v>
      </c>
      <c r="L55" s="3"/>
      <c r="M55" s="3"/>
      <c r="N55" s="3"/>
      <c r="O55" s="3"/>
      <c r="P55" s="3"/>
      <c r="Q55" s="3"/>
      <c r="R55" s="3">
        <v>10</v>
      </c>
      <c r="S55" s="3"/>
      <c r="T55" s="16">
        <f>SUM(E55:S55)</f>
        <v>42</v>
      </c>
    </row>
    <row r="56" spans="1:21">
      <c r="A56" s="30" t="s">
        <v>111</v>
      </c>
      <c r="B56" s="43">
        <v>54</v>
      </c>
      <c r="C56" s="3" t="s">
        <v>404</v>
      </c>
      <c r="D56" s="3" t="s">
        <v>39</v>
      </c>
      <c r="E56" s="3"/>
      <c r="F56" s="3">
        <v>9</v>
      </c>
      <c r="G56" s="3"/>
      <c r="H56" s="3"/>
      <c r="I56" s="3"/>
      <c r="J56" s="3"/>
      <c r="K56" s="3">
        <v>13</v>
      </c>
      <c r="L56" s="3"/>
      <c r="M56" s="3">
        <v>9</v>
      </c>
      <c r="N56" s="3"/>
      <c r="O56" s="3"/>
      <c r="P56" s="3"/>
      <c r="Q56" s="3">
        <v>10</v>
      </c>
      <c r="R56" s="3"/>
      <c r="S56" s="3"/>
      <c r="T56" s="16">
        <f>SUM(E56:S56)</f>
        <v>41</v>
      </c>
    </row>
    <row r="57" spans="1:21">
      <c r="A57" s="30" t="s">
        <v>109</v>
      </c>
      <c r="B57" s="43">
        <v>54</v>
      </c>
      <c r="C57" s="45" t="s">
        <v>143</v>
      </c>
      <c r="D57" s="3" t="s">
        <v>252</v>
      </c>
      <c r="E57" s="3"/>
      <c r="F57" s="3"/>
      <c r="G57" s="3"/>
      <c r="H57" s="3">
        <v>9</v>
      </c>
      <c r="I57" s="3"/>
      <c r="J57" s="3"/>
      <c r="K57" s="3">
        <v>13</v>
      </c>
      <c r="L57" s="3"/>
      <c r="M57" s="3">
        <v>9</v>
      </c>
      <c r="N57" s="3"/>
      <c r="O57" s="3"/>
      <c r="P57" s="3"/>
      <c r="Q57" s="3"/>
      <c r="R57" s="3"/>
      <c r="S57" s="3">
        <v>10</v>
      </c>
      <c r="T57" s="16">
        <f>SUM(E57:S57)</f>
        <v>41</v>
      </c>
    </row>
    <row r="58" spans="1:21">
      <c r="A58" s="30" t="s">
        <v>106</v>
      </c>
      <c r="B58" s="43">
        <v>54</v>
      </c>
      <c r="C58" s="46" t="s">
        <v>169</v>
      </c>
      <c r="D58" s="3" t="s">
        <v>170</v>
      </c>
      <c r="E58" s="3">
        <v>10</v>
      </c>
      <c r="F58" s="3"/>
      <c r="G58" s="3"/>
      <c r="H58" s="3">
        <v>9</v>
      </c>
      <c r="I58" s="3"/>
      <c r="J58" s="3"/>
      <c r="K58" s="3">
        <v>13</v>
      </c>
      <c r="L58" s="3"/>
      <c r="M58" s="3">
        <v>9</v>
      </c>
      <c r="N58" s="3"/>
      <c r="O58" s="3"/>
      <c r="P58" s="3"/>
      <c r="Q58" s="3"/>
      <c r="R58" s="3"/>
      <c r="S58" s="3"/>
      <c r="T58" s="16">
        <f>SUM(E58:S58)</f>
        <v>41</v>
      </c>
    </row>
    <row r="59" spans="1:21">
      <c r="A59" s="30" t="s">
        <v>105</v>
      </c>
      <c r="B59" s="43">
        <v>54</v>
      </c>
      <c r="C59" s="45" t="s">
        <v>240</v>
      </c>
      <c r="D59" s="3" t="s">
        <v>116</v>
      </c>
      <c r="E59" s="3">
        <v>10</v>
      </c>
      <c r="F59" s="3">
        <v>9</v>
      </c>
      <c r="G59" s="3"/>
      <c r="H59" s="3">
        <v>9</v>
      </c>
      <c r="I59" s="3"/>
      <c r="J59" s="3"/>
      <c r="K59" s="3">
        <v>13</v>
      </c>
      <c r="L59" s="3"/>
      <c r="M59" s="3"/>
      <c r="N59" s="3"/>
      <c r="O59" s="3"/>
      <c r="P59" s="3"/>
      <c r="Q59" s="3"/>
      <c r="R59" s="3"/>
      <c r="S59" s="3"/>
      <c r="T59" s="16">
        <f>SUM(E59:S59)</f>
        <v>41</v>
      </c>
    </row>
    <row r="60" spans="1:21">
      <c r="A60" s="30" t="s">
        <v>120</v>
      </c>
      <c r="B60" s="43">
        <v>58</v>
      </c>
      <c r="C60" s="39" t="s">
        <v>463</v>
      </c>
      <c r="D60" s="3" t="s">
        <v>102</v>
      </c>
      <c r="E60" s="3"/>
      <c r="F60" s="3">
        <v>9</v>
      </c>
      <c r="G60" s="3"/>
      <c r="H60" s="3">
        <v>9</v>
      </c>
      <c r="I60" s="3"/>
      <c r="J60" s="3"/>
      <c r="K60" s="3">
        <v>13</v>
      </c>
      <c r="L60" s="3"/>
      <c r="M60" s="3">
        <v>9</v>
      </c>
      <c r="N60" s="3"/>
      <c r="O60" s="3"/>
      <c r="P60" s="3"/>
      <c r="Q60" s="3"/>
      <c r="R60" s="3"/>
      <c r="S60" s="3"/>
      <c r="T60" s="16">
        <f>SUM(E60:S60)</f>
        <v>40</v>
      </c>
      <c r="U60" s="27"/>
    </row>
    <row r="61" spans="1:21" ht="21.75" customHeight="1">
      <c r="A61" s="30" t="s">
        <v>117</v>
      </c>
      <c r="B61" s="43">
        <v>58</v>
      </c>
      <c r="C61" s="3" t="s">
        <v>524</v>
      </c>
      <c r="D61" s="3" t="s">
        <v>230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>
        <v>30</v>
      </c>
      <c r="Q61" s="3">
        <v>10</v>
      </c>
      <c r="R61" s="3"/>
      <c r="S61" s="3"/>
      <c r="T61" s="16">
        <f>SUM(E61:S61)</f>
        <v>40</v>
      </c>
      <c r="U61" s="27"/>
    </row>
    <row r="62" spans="1:21" ht="21.75" customHeight="1">
      <c r="A62" s="30" t="s">
        <v>114</v>
      </c>
      <c r="B62" s="43">
        <v>58</v>
      </c>
      <c r="C62" s="39" t="s">
        <v>183</v>
      </c>
      <c r="D62" s="3" t="s">
        <v>184</v>
      </c>
      <c r="E62" s="3">
        <v>10</v>
      </c>
      <c r="F62" s="3"/>
      <c r="G62" s="3">
        <v>10</v>
      </c>
      <c r="H62" s="3"/>
      <c r="I62" s="3"/>
      <c r="J62" s="3"/>
      <c r="K62" s="3"/>
      <c r="L62" s="3"/>
      <c r="M62" s="3"/>
      <c r="N62" s="3"/>
      <c r="O62" s="3"/>
      <c r="P62" s="3"/>
      <c r="Q62" s="3">
        <v>10</v>
      </c>
      <c r="R62" s="3"/>
      <c r="S62" s="3">
        <v>10</v>
      </c>
      <c r="T62" s="16">
        <f>SUM(E62:S62)</f>
        <v>40</v>
      </c>
      <c r="U62" s="27"/>
    </row>
    <row r="63" spans="1:21">
      <c r="A63" s="30" t="s">
        <v>112</v>
      </c>
      <c r="B63" s="43">
        <v>58</v>
      </c>
      <c r="C63" s="3" t="s">
        <v>522</v>
      </c>
      <c r="D63" s="3" t="s">
        <v>523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>
        <v>30</v>
      </c>
      <c r="Q63" s="3">
        <v>10</v>
      </c>
      <c r="R63" s="3"/>
      <c r="S63" s="3"/>
      <c r="T63" s="16">
        <f>SUM(E63:S63)</f>
        <v>40</v>
      </c>
    </row>
    <row r="64" spans="1:21">
      <c r="A64" s="30" t="s">
        <v>122</v>
      </c>
      <c r="B64" s="43">
        <v>62</v>
      </c>
      <c r="C64" s="3" t="s">
        <v>351</v>
      </c>
      <c r="D64" s="3" t="s">
        <v>108</v>
      </c>
      <c r="E64" s="3">
        <v>10</v>
      </c>
      <c r="F64" s="3">
        <v>9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>
        <v>10</v>
      </c>
      <c r="R64" s="3"/>
      <c r="S64" s="3">
        <v>10</v>
      </c>
      <c r="T64" s="16">
        <f>SUM(E64:S64)</f>
        <v>39</v>
      </c>
    </row>
    <row r="65" spans="1:21">
      <c r="A65" s="30" t="s">
        <v>121</v>
      </c>
      <c r="B65" s="43">
        <v>62</v>
      </c>
      <c r="C65" s="45" t="s">
        <v>354</v>
      </c>
      <c r="D65" s="3" t="s">
        <v>265</v>
      </c>
      <c r="E65" s="3">
        <v>10</v>
      </c>
      <c r="F65" s="3"/>
      <c r="G65" s="3"/>
      <c r="H65" s="3">
        <v>9</v>
      </c>
      <c r="I65" s="3"/>
      <c r="J65" s="3"/>
      <c r="K65" s="3"/>
      <c r="L65" s="3"/>
      <c r="M65" s="3"/>
      <c r="N65" s="3"/>
      <c r="O65" s="3"/>
      <c r="P65" s="3"/>
      <c r="Q65" s="3"/>
      <c r="R65" s="3">
        <v>10</v>
      </c>
      <c r="S65" s="3">
        <v>10</v>
      </c>
      <c r="T65" s="16">
        <f>SUM(E65:S65)</f>
        <v>39</v>
      </c>
    </row>
    <row r="66" spans="1:21">
      <c r="A66" s="30" t="s">
        <v>124</v>
      </c>
      <c r="B66" s="43">
        <v>64</v>
      </c>
      <c r="C66" s="3" t="s">
        <v>281</v>
      </c>
      <c r="D66" s="3" t="s">
        <v>63</v>
      </c>
      <c r="E66" s="3"/>
      <c r="F66" s="3"/>
      <c r="G66" s="3">
        <v>10</v>
      </c>
      <c r="H66" s="3"/>
      <c r="I66" s="12"/>
      <c r="J66" s="12"/>
      <c r="K66" s="3"/>
      <c r="L66" s="12"/>
      <c r="M66" s="3"/>
      <c r="N66" s="3"/>
      <c r="O66" s="3">
        <v>25</v>
      </c>
      <c r="P66" s="3"/>
      <c r="Q66" s="12"/>
      <c r="R66" s="3"/>
      <c r="S66" s="3"/>
      <c r="T66" s="16">
        <f>SUM(E66:S66)</f>
        <v>35</v>
      </c>
    </row>
    <row r="67" spans="1:21">
      <c r="A67" s="30" t="s">
        <v>133</v>
      </c>
      <c r="B67" s="43">
        <v>65</v>
      </c>
      <c r="C67" s="3" t="s">
        <v>472</v>
      </c>
      <c r="D67" s="3" t="s">
        <v>6</v>
      </c>
      <c r="E67" s="3"/>
      <c r="F67" s="3">
        <v>9</v>
      </c>
      <c r="G67" s="3">
        <v>10</v>
      </c>
      <c r="H67" s="3"/>
      <c r="I67" s="3"/>
      <c r="J67" s="3"/>
      <c r="K67" s="3">
        <v>13</v>
      </c>
      <c r="L67" s="3"/>
      <c r="M67" s="3"/>
      <c r="N67" s="3"/>
      <c r="O67" s="3"/>
      <c r="P67" s="3"/>
      <c r="Q67" s="3"/>
      <c r="R67" s="3"/>
      <c r="S67" s="3"/>
      <c r="T67" s="16">
        <f>SUM(E67:S67)</f>
        <v>32</v>
      </c>
    </row>
    <row r="68" spans="1:21">
      <c r="A68" s="30" t="s">
        <v>131</v>
      </c>
      <c r="B68" s="43">
        <v>65</v>
      </c>
      <c r="C68" s="39" t="s">
        <v>476</v>
      </c>
      <c r="D68" s="3" t="s">
        <v>477</v>
      </c>
      <c r="E68" s="3"/>
      <c r="F68" s="3">
        <v>9</v>
      </c>
      <c r="G68" s="3"/>
      <c r="H68" s="3"/>
      <c r="I68" s="3"/>
      <c r="J68" s="3"/>
      <c r="K68" s="3">
        <v>13</v>
      </c>
      <c r="L68" s="3"/>
      <c r="M68" s="3"/>
      <c r="N68" s="3"/>
      <c r="O68" s="3"/>
      <c r="P68" s="3"/>
      <c r="Q68" s="3"/>
      <c r="R68" s="3"/>
      <c r="S68" s="3">
        <v>10</v>
      </c>
      <c r="T68" s="16">
        <f>SUM(E68:S68)</f>
        <v>32</v>
      </c>
    </row>
    <row r="69" spans="1:21">
      <c r="A69" s="30" t="s">
        <v>129</v>
      </c>
      <c r="B69" s="43">
        <v>65</v>
      </c>
      <c r="C69" s="3" t="s">
        <v>403</v>
      </c>
      <c r="D69" s="3" t="s">
        <v>47</v>
      </c>
      <c r="E69" s="3"/>
      <c r="F69" s="3"/>
      <c r="G69" s="3"/>
      <c r="H69" s="3"/>
      <c r="I69" s="3"/>
      <c r="J69" s="3"/>
      <c r="K69" s="3">
        <v>13</v>
      </c>
      <c r="L69" s="3"/>
      <c r="M69" s="3">
        <v>9</v>
      </c>
      <c r="N69" s="3"/>
      <c r="O69" s="3"/>
      <c r="P69" s="3"/>
      <c r="Q69" s="3"/>
      <c r="R69" s="3">
        <v>10</v>
      </c>
      <c r="S69" s="3"/>
      <c r="T69" s="16">
        <f>SUM(E69:S69)</f>
        <v>32</v>
      </c>
      <c r="U69" s="27"/>
    </row>
    <row r="70" spans="1:21">
      <c r="A70" s="30" t="s">
        <v>126</v>
      </c>
      <c r="B70" s="43">
        <v>65</v>
      </c>
      <c r="C70" s="3" t="s">
        <v>387</v>
      </c>
      <c r="D70" s="3" t="s">
        <v>6</v>
      </c>
      <c r="E70" s="3">
        <v>10</v>
      </c>
      <c r="F70" s="3">
        <v>9</v>
      </c>
      <c r="G70" s="3"/>
      <c r="H70" s="3"/>
      <c r="I70" s="3"/>
      <c r="J70" s="3"/>
      <c r="K70" s="3">
        <v>13</v>
      </c>
      <c r="L70" s="3"/>
      <c r="M70" s="3"/>
      <c r="N70" s="3"/>
      <c r="O70" s="3"/>
      <c r="P70" s="3"/>
      <c r="Q70" s="3"/>
      <c r="R70" s="3"/>
      <c r="S70" s="3"/>
      <c r="T70" s="16">
        <f>SUM(E70:S70)</f>
        <v>32</v>
      </c>
    </row>
    <row r="71" spans="1:21">
      <c r="A71" s="30" t="s">
        <v>136</v>
      </c>
      <c r="B71" s="43">
        <v>69</v>
      </c>
      <c r="C71" s="45" t="s">
        <v>107</v>
      </c>
      <c r="D71" s="3" t="s">
        <v>108</v>
      </c>
      <c r="E71" s="3"/>
      <c r="F71" s="3">
        <v>9</v>
      </c>
      <c r="G71" s="3"/>
      <c r="H71" s="3">
        <v>9</v>
      </c>
      <c r="I71" s="3"/>
      <c r="J71" s="3"/>
      <c r="K71" s="3">
        <v>13</v>
      </c>
      <c r="L71" s="3"/>
      <c r="M71" s="3"/>
      <c r="N71" s="3"/>
      <c r="O71" s="3"/>
      <c r="P71" s="3"/>
      <c r="Q71" s="3"/>
      <c r="R71" s="3"/>
      <c r="S71" s="3"/>
      <c r="T71" s="16">
        <f>SUM(E71:S71)</f>
        <v>31</v>
      </c>
    </row>
    <row r="72" spans="1:21">
      <c r="A72" s="30" t="s">
        <v>139</v>
      </c>
      <c r="B72" s="43">
        <v>70</v>
      </c>
      <c r="C72" s="39" t="s">
        <v>330</v>
      </c>
      <c r="D72" s="3" t="s">
        <v>150</v>
      </c>
      <c r="E72" s="3">
        <v>10</v>
      </c>
      <c r="F72" s="3"/>
      <c r="G72" s="3">
        <v>10</v>
      </c>
      <c r="H72" s="3"/>
      <c r="I72" s="3"/>
      <c r="J72" s="3"/>
      <c r="K72" s="3"/>
      <c r="L72" s="3"/>
      <c r="M72" s="3"/>
      <c r="N72" s="3"/>
      <c r="O72" s="3"/>
      <c r="P72" s="3"/>
      <c r="Q72" s="3">
        <v>10</v>
      </c>
      <c r="R72" s="3"/>
      <c r="S72" s="3"/>
      <c r="T72" s="16">
        <f>SUM(E72:S72)</f>
        <v>30</v>
      </c>
    </row>
    <row r="73" spans="1:21">
      <c r="A73" s="30" t="s">
        <v>142</v>
      </c>
      <c r="B73" s="43">
        <v>71</v>
      </c>
      <c r="C73" s="3" t="s">
        <v>10</v>
      </c>
      <c r="D73" s="3" t="s">
        <v>11</v>
      </c>
      <c r="E73" s="3">
        <v>10</v>
      </c>
      <c r="F73" s="3">
        <v>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>
        <v>10</v>
      </c>
      <c r="T73" s="16">
        <f>SUM(E73:S73)</f>
        <v>29</v>
      </c>
    </row>
    <row r="74" spans="1:21">
      <c r="A74" s="30" t="s">
        <v>147</v>
      </c>
      <c r="B74" s="43">
        <v>72</v>
      </c>
      <c r="C74" s="3" t="s">
        <v>3</v>
      </c>
      <c r="D74" s="3" t="s">
        <v>462</v>
      </c>
      <c r="E74" s="3">
        <v>10</v>
      </c>
      <c r="F74" s="3">
        <v>9</v>
      </c>
      <c r="G74" s="3"/>
      <c r="H74" s="3">
        <v>9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16">
        <f>SUM(E74:S74)</f>
        <v>28</v>
      </c>
      <c r="U74" s="27"/>
    </row>
    <row r="75" spans="1:21">
      <c r="A75" s="30" t="s">
        <v>144</v>
      </c>
      <c r="B75" s="43">
        <v>72</v>
      </c>
      <c r="C75" s="45" t="s">
        <v>262</v>
      </c>
      <c r="D75" s="3" t="s">
        <v>14</v>
      </c>
      <c r="E75" s="3">
        <v>10</v>
      </c>
      <c r="F75" s="3">
        <v>9</v>
      </c>
      <c r="G75" s="3"/>
      <c r="H75" s="3">
        <v>9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16">
        <f>SUM(E75:S75)</f>
        <v>28</v>
      </c>
    </row>
    <row r="76" spans="1:21">
      <c r="A76" s="30" t="s">
        <v>149</v>
      </c>
      <c r="B76" s="43">
        <v>74</v>
      </c>
      <c r="C76" s="39" t="s">
        <v>134</v>
      </c>
      <c r="D76" s="3" t="s">
        <v>135</v>
      </c>
      <c r="E76" s="3"/>
      <c r="F76" s="3">
        <v>9</v>
      </c>
      <c r="G76" s="3"/>
      <c r="H76" s="3">
        <v>9</v>
      </c>
      <c r="I76" s="3"/>
      <c r="J76" s="3"/>
      <c r="K76" s="38"/>
      <c r="L76" s="3"/>
      <c r="M76" s="3">
        <v>9</v>
      </c>
      <c r="N76" s="3"/>
      <c r="O76" s="3"/>
      <c r="P76" s="3"/>
      <c r="Q76" s="3"/>
      <c r="R76" s="3"/>
      <c r="S76" s="3"/>
      <c r="T76" s="16">
        <f>SUM(E76:S76)</f>
        <v>27</v>
      </c>
    </row>
    <row r="77" spans="1:21">
      <c r="A77" s="30" t="s">
        <v>152</v>
      </c>
      <c r="B77" s="43">
        <v>75</v>
      </c>
      <c r="C77" s="45" t="s">
        <v>271</v>
      </c>
      <c r="D77" s="3" t="s">
        <v>272</v>
      </c>
      <c r="E77" s="3">
        <v>5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>
        <v>10</v>
      </c>
      <c r="S77" s="3">
        <v>10</v>
      </c>
      <c r="T77" s="16">
        <f>SUM(E77:S77)</f>
        <v>25</v>
      </c>
      <c r="U77" s="27"/>
    </row>
    <row r="78" spans="1:21">
      <c r="A78" s="30" t="s">
        <v>151</v>
      </c>
      <c r="B78" s="43">
        <v>75</v>
      </c>
      <c r="C78" s="3" t="s">
        <v>376</v>
      </c>
      <c r="D78" s="3" t="s">
        <v>377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>
        <v>25</v>
      </c>
      <c r="P78" s="3"/>
      <c r="Q78" s="3"/>
      <c r="R78" s="3"/>
      <c r="S78" s="3"/>
      <c r="T78" s="16">
        <f>SUM(E78:S78)</f>
        <v>25</v>
      </c>
      <c r="U78" s="27"/>
    </row>
    <row r="79" spans="1:21">
      <c r="A79" s="30" t="s">
        <v>158</v>
      </c>
      <c r="B79" s="43">
        <v>77</v>
      </c>
      <c r="C79" s="3" t="s">
        <v>72</v>
      </c>
      <c r="D79" s="3" t="s">
        <v>47</v>
      </c>
      <c r="E79" s="3"/>
      <c r="F79" s="3">
        <v>9</v>
      </c>
      <c r="G79" s="3"/>
      <c r="H79" s="3"/>
      <c r="I79" s="3"/>
      <c r="J79" s="3"/>
      <c r="K79" s="3">
        <v>13</v>
      </c>
      <c r="L79" s="3"/>
      <c r="M79" s="3"/>
      <c r="N79" s="3"/>
      <c r="O79" s="3"/>
      <c r="P79" s="3"/>
      <c r="Q79" s="3"/>
      <c r="R79" s="3"/>
      <c r="S79" s="3"/>
      <c r="T79" s="16">
        <f>SUM(E79:S79)</f>
        <v>22</v>
      </c>
      <c r="U79" s="27"/>
    </row>
    <row r="80" spans="1:21">
      <c r="A80" s="30" t="s">
        <v>155</v>
      </c>
      <c r="B80" s="43">
        <v>77</v>
      </c>
      <c r="C80" s="39" t="s">
        <v>488</v>
      </c>
      <c r="D80" s="3" t="s">
        <v>166</v>
      </c>
      <c r="E80" s="3"/>
      <c r="F80" s="3">
        <v>9</v>
      </c>
      <c r="G80" s="3"/>
      <c r="H80" s="3"/>
      <c r="I80" s="3"/>
      <c r="J80" s="3"/>
      <c r="K80" s="3">
        <v>13</v>
      </c>
      <c r="L80" s="3"/>
      <c r="M80" s="3"/>
      <c r="N80" s="3"/>
      <c r="O80" s="3"/>
      <c r="P80" s="3"/>
      <c r="Q80" s="3"/>
      <c r="R80" s="3"/>
      <c r="S80" s="3"/>
      <c r="T80" s="16">
        <f>SUM(E80:S80)</f>
        <v>22</v>
      </c>
    </row>
    <row r="81" spans="1:21">
      <c r="A81" s="30" t="s">
        <v>154</v>
      </c>
      <c r="B81" s="43">
        <v>77</v>
      </c>
      <c r="C81" s="3" t="s">
        <v>395</v>
      </c>
      <c r="D81" s="3" t="s">
        <v>14</v>
      </c>
      <c r="E81" s="3"/>
      <c r="F81" s="3">
        <v>9</v>
      </c>
      <c r="G81" s="3"/>
      <c r="H81" s="3"/>
      <c r="I81" s="3"/>
      <c r="J81" s="3"/>
      <c r="K81" s="3">
        <v>13</v>
      </c>
      <c r="L81" s="3"/>
      <c r="M81" s="3"/>
      <c r="N81" s="3"/>
      <c r="O81" s="3"/>
      <c r="P81" s="3"/>
      <c r="Q81" s="3"/>
      <c r="R81" s="3"/>
      <c r="S81" s="3"/>
      <c r="T81" s="16">
        <f>SUM(E81:S81)</f>
        <v>22</v>
      </c>
    </row>
    <row r="82" spans="1:21">
      <c r="A82" s="30" t="s">
        <v>165</v>
      </c>
      <c r="B82" s="43">
        <v>80</v>
      </c>
      <c r="C82" s="45" t="s">
        <v>59</v>
      </c>
      <c r="D82" s="3" t="s">
        <v>60</v>
      </c>
      <c r="E82" s="8">
        <v>10</v>
      </c>
      <c r="F82" s="3"/>
      <c r="G82" s="3"/>
      <c r="H82" s="8"/>
      <c r="I82" s="8"/>
      <c r="J82" s="3"/>
      <c r="K82" s="8"/>
      <c r="L82" s="8"/>
      <c r="M82" s="8"/>
      <c r="N82" s="8"/>
      <c r="O82" s="8"/>
      <c r="P82" s="8"/>
      <c r="Q82" s="8"/>
      <c r="R82" s="8">
        <v>10</v>
      </c>
      <c r="S82" s="8"/>
      <c r="T82" s="16">
        <f>SUM(E82:S82)</f>
        <v>20</v>
      </c>
      <c r="U82" s="27"/>
    </row>
    <row r="83" spans="1:21">
      <c r="A83" s="30" t="s">
        <v>164</v>
      </c>
      <c r="B83" s="43">
        <v>80</v>
      </c>
      <c r="C83" s="45" t="s">
        <v>355</v>
      </c>
      <c r="D83" s="3" t="s">
        <v>47</v>
      </c>
      <c r="E83" s="3">
        <v>10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>
        <v>10</v>
      </c>
      <c r="T83" s="16">
        <f>SUM(E83:S83)</f>
        <v>20</v>
      </c>
    </row>
    <row r="84" spans="1:21">
      <c r="A84" s="30" t="s">
        <v>162</v>
      </c>
      <c r="B84" s="43">
        <v>80</v>
      </c>
      <c r="C84" s="3" t="s">
        <v>145</v>
      </c>
      <c r="D84" s="3" t="s">
        <v>146</v>
      </c>
      <c r="E84" s="8">
        <v>10</v>
      </c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>
        <v>10</v>
      </c>
      <c r="T84" s="16">
        <f>SUM(E84:S84)</f>
        <v>20</v>
      </c>
    </row>
    <row r="85" spans="1:21">
      <c r="A85" s="30" t="s">
        <v>160</v>
      </c>
      <c r="B85" s="43">
        <v>80</v>
      </c>
      <c r="C85" s="3" t="s">
        <v>327</v>
      </c>
      <c r="D85" s="3" t="s">
        <v>328</v>
      </c>
      <c r="E85" s="3"/>
      <c r="F85" s="3"/>
      <c r="G85" s="3">
        <v>10</v>
      </c>
      <c r="H85" s="3"/>
      <c r="I85" s="3"/>
      <c r="J85" s="3"/>
      <c r="K85" s="3"/>
      <c r="L85" s="3"/>
      <c r="M85" s="3"/>
      <c r="N85" s="3"/>
      <c r="O85" s="3"/>
      <c r="P85" s="3"/>
      <c r="Q85" s="3">
        <v>10</v>
      </c>
      <c r="R85" s="3"/>
      <c r="S85" s="3"/>
      <c r="T85" s="16">
        <f>SUM(E85:S85)</f>
        <v>20</v>
      </c>
    </row>
    <row r="86" spans="1:21">
      <c r="A86" s="30" t="s">
        <v>182</v>
      </c>
      <c r="B86" s="43">
        <v>84</v>
      </c>
      <c r="C86" s="3" t="s">
        <v>465</v>
      </c>
      <c r="D86" s="3" t="s">
        <v>466</v>
      </c>
      <c r="E86" s="3">
        <v>10</v>
      </c>
      <c r="F86" s="3">
        <v>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16">
        <f>SUM(E86:S86)</f>
        <v>19</v>
      </c>
      <c r="U86" s="27"/>
    </row>
    <row r="87" spans="1:21">
      <c r="A87" s="30" t="s">
        <v>179</v>
      </c>
      <c r="B87" s="43">
        <v>84</v>
      </c>
      <c r="C87" s="39" t="s">
        <v>41</v>
      </c>
      <c r="D87" s="3" t="s">
        <v>42</v>
      </c>
      <c r="E87" s="3">
        <v>10</v>
      </c>
      <c r="F87" s="3">
        <v>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16">
        <f>SUM(E87:S87)</f>
        <v>19</v>
      </c>
    </row>
    <row r="88" spans="1:21">
      <c r="A88" s="30" t="s">
        <v>177</v>
      </c>
      <c r="B88" s="43">
        <v>84</v>
      </c>
      <c r="C88" s="39" t="s">
        <v>76</v>
      </c>
      <c r="D88" s="3" t="s">
        <v>5</v>
      </c>
      <c r="E88" s="3">
        <v>10</v>
      </c>
      <c r="F88" s="3"/>
      <c r="G88" s="3"/>
      <c r="H88" s="3">
        <v>9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16">
        <f>SUM(E88:S88)</f>
        <v>19</v>
      </c>
    </row>
    <row r="89" spans="1:21">
      <c r="A89" s="30" t="s">
        <v>176</v>
      </c>
      <c r="B89" s="43">
        <v>84</v>
      </c>
      <c r="C89" s="39" t="s">
        <v>474</v>
      </c>
      <c r="D89" s="3" t="s">
        <v>50</v>
      </c>
      <c r="E89" s="3"/>
      <c r="F89" s="3"/>
      <c r="G89" s="3"/>
      <c r="H89" s="3"/>
      <c r="I89" s="3"/>
      <c r="J89" s="3"/>
      <c r="K89" s="3"/>
      <c r="L89" s="3"/>
      <c r="M89" s="3">
        <v>9</v>
      </c>
      <c r="N89" s="3"/>
      <c r="O89" s="3"/>
      <c r="P89" s="3"/>
      <c r="Q89" s="3"/>
      <c r="R89" s="3"/>
      <c r="S89" s="3">
        <v>10</v>
      </c>
      <c r="T89" s="16">
        <f>SUM(E89:S89)</f>
        <v>19</v>
      </c>
    </row>
    <row r="90" spans="1:21">
      <c r="A90" s="30" t="s">
        <v>174</v>
      </c>
      <c r="B90" s="43">
        <v>84</v>
      </c>
      <c r="C90" s="39" t="s">
        <v>127</v>
      </c>
      <c r="D90" s="3" t="s">
        <v>128</v>
      </c>
      <c r="E90" s="3">
        <v>10</v>
      </c>
      <c r="F90" s="3">
        <v>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16">
        <f>SUM(E90:S90)</f>
        <v>19</v>
      </c>
    </row>
    <row r="91" spans="1:21">
      <c r="A91" s="30" t="s">
        <v>172</v>
      </c>
      <c r="B91" s="43">
        <v>84</v>
      </c>
      <c r="C91" s="39" t="s">
        <v>159</v>
      </c>
      <c r="D91" s="3" t="s">
        <v>36</v>
      </c>
      <c r="E91" s="3"/>
      <c r="F91" s="3"/>
      <c r="G91" s="3"/>
      <c r="H91" s="3"/>
      <c r="I91" s="3"/>
      <c r="J91" s="3"/>
      <c r="K91" s="3"/>
      <c r="L91" s="13"/>
      <c r="M91" s="3">
        <v>9</v>
      </c>
      <c r="N91" s="3"/>
      <c r="O91" s="13"/>
      <c r="P91" s="3"/>
      <c r="Q91" s="3"/>
      <c r="R91" s="3"/>
      <c r="S91" s="3">
        <v>10</v>
      </c>
      <c r="T91" s="16">
        <f>SUM(E91:S91)</f>
        <v>19</v>
      </c>
      <c r="U91" s="27"/>
    </row>
    <row r="92" spans="1:21">
      <c r="A92" s="30" t="s">
        <v>171</v>
      </c>
      <c r="B92" s="43">
        <v>84</v>
      </c>
      <c r="C92" s="39" t="s">
        <v>202</v>
      </c>
      <c r="D92" s="3" t="s">
        <v>39</v>
      </c>
      <c r="E92" s="3">
        <v>10</v>
      </c>
      <c r="F92" s="3">
        <v>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16">
        <f>SUM(E92:S92)</f>
        <v>19</v>
      </c>
    </row>
    <row r="93" spans="1:21">
      <c r="A93" s="30" t="s">
        <v>168</v>
      </c>
      <c r="B93" s="43">
        <v>84</v>
      </c>
      <c r="C93" s="39" t="s">
        <v>285</v>
      </c>
      <c r="D93" s="3" t="s">
        <v>36</v>
      </c>
      <c r="E93" s="3">
        <v>10</v>
      </c>
      <c r="F93" s="3"/>
      <c r="G93" s="3"/>
      <c r="H93" s="3">
        <v>9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16">
        <f>SUM(E93:S93)</f>
        <v>19</v>
      </c>
    </row>
    <row r="94" spans="1:21">
      <c r="A94" s="30" t="s">
        <v>167</v>
      </c>
      <c r="B94" s="43">
        <v>84</v>
      </c>
      <c r="C94" s="39" t="s">
        <v>244</v>
      </c>
      <c r="D94" s="3" t="s">
        <v>6</v>
      </c>
      <c r="E94" s="3">
        <v>10</v>
      </c>
      <c r="F94" s="3">
        <v>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16">
        <f>SUM(E94:S94)</f>
        <v>19</v>
      </c>
      <c r="U94" s="27"/>
    </row>
    <row r="95" spans="1:21">
      <c r="A95" s="30" t="s">
        <v>189</v>
      </c>
      <c r="B95" s="43">
        <v>93</v>
      </c>
      <c r="C95" s="3" t="s">
        <v>318</v>
      </c>
      <c r="D95" s="3" t="s">
        <v>319</v>
      </c>
      <c r="E95" s="3">
        <v>5</v>
      </c>
      <c r="F95" s="3"/>
      <c r="G95" s="3"/>
      <c r="H95" s="3"/>
      <c r="I95" s="3"/>
      <c r="J95" s="3"/>
      <c r="K95" s="3">
        <v>13</v>
      </c>
      <c r="L95" s="3"/>
      <c r="M95" s="3"/>
      <c r="N95" s="3"/>
      <c r="O95" s="3"/>
      <c r="P95" s="3"/>
      <c r="Q95" s="48"/>
      <c r="R95" s="3"/>
      <c r="S95" s="3"/>
      <c r="T95" s="16">
        <f>SUM(E95:S95)</f>
        <v>18</v>
      </c>
    </row>
    <row r="96" spans="1:21">
      <c r="A96" s="30" t="s">
        <v>186</v>
      </c>
      <c r="B96" s="43">
        <v>93</v>
      </c>
      <c r="C96" s="3" t="s">
        <v>202</v>
      </c>
      <c r="D96" s="3" t="s">
        <v>284</v>
      </c>
      <c r="E96" s="3"/>
      <c r="F96" s="3"/>
      <c r="G96" s="3"/>
      <c r="H96" s="3">
        <v>9</v>
      </c>
      <c r="I96" s="3"/>
      <c r="J96" s="3"/>
      <c r="K96" s="3"/>
      <c r="L96" s="3"/>
      <c r="M96" s="3">
        <v>9</v>
      </c>
      <c r="N96" s="3"/>
      <c r="O96" s="3"/>
      <c r="P96" s="3"/>
      <c r="Q96" s="3"/>
      <c r="R96" s="3"/>
      <c r="S96" s="3"/>
      <c r="T96" s="16">
        <f>SUM(E96:S96)</f>
        <v>18</v>
      </c>
      <c r="U96" s="27"/>
    </row>
    <row r="97" spans="1:21">
      <c r="A97" s="30" t="s">
        <v>185</v>
      </c>
      <c r="B97" s="43">
        <v>93</v>
      </c>
      <c r="C97" s="3" t="s">
        <v>219</v>
      </c>
      <c r="D97" s="3" t="s">
        <v>220</v>
      </c>
      <c r="E97" s="3">
        <v>5</v>
      </c>
      <c r="F97" s="3"/>
      <c r="G97" s="3"/>
      <c r="H97" s="3"/>
      <c r="I97" s="3"/>
      <c r="J97" s="3"/>
      <c r="K97" s="3">
        <v>13</v>
      </c>
      <c r="L97" s="3"/>
      <c r="M97" s="3"/>
      <c r="N97" s="3"/>
      <c r="O97" s="3"/>
      <c r="P97" s="3"/>
      <c r="Q97" s="3"/>
      <c r="R97" s="3"/>
      <c r="S97" s="3"/>
      <c r="T97" s="16">
        <f>SUM(E97:S97)</f>
        <v>18</v>
      </c>
      <c r="U97" s="27"/>
    </row>
    <row r="98" spans="1:21">
      <c r="A98" s="30" t="s">
        <v>190</v>
      </c>
      <c r="B98" s="43">
        <v>96</v>
      </c>
      <c r="C98" s="45" t="s">
        <v>13</v>
      </c>
      <c r="D98" s="3" t="s">
        <v>14</v>
      </c>
      <c r="E98" s="3">
        <v>5</v>
      </c>
      <c r="F98" s="3">
        <v>9</v>
      </c>
      <c r="G98" s="3"/>
      <c r="H98" s="3"/>
      <c r="I98" s="3"/>
      <c r="J98" s="3"/>
      <c r="K98" s="48"/>
      <c r="L98" s="3"/>
      <c r="M98" s="3"/>
      <c r="N98" s="3"/>
      <c r="O98" s="3"/>
      <c r="P98" s="3"/>
      <c r="Q98" s="3"/>
      <c r="R98" s="3"/>
      <c r="S98" s="3"/>
      <c r="T98" s="16">
        <f>SUM(E98:S98)</f>
        <v>14</v>
      </c>
      <c r="U98" s="27"/>
    </row>
    <row r="99" spans="1:21">
      <c r="A99" s="30" t="s">
        <v>197</v>
      </c>
      <c r="B99" s="43">
        <v>97</v>
      </c>
      <c r="C99" s="3" t="s">
        <v>517</v>
      </c>
      <c r="D99" s="3" t="s">
        <v>6</v>
      </c>
      <c r="E99" s="3"/>
      <c r="F99" s="3"/>
      <c r="G99" s="3"/>
      <c r="H99" s="3"/>
      <c r="I99" s="3"/>
      <c r="J99" s="3"/>
      <c r="K99" s="3">
        <v>13</v>
      </c>
      <c r="L99" s="3"/>
      <c r="M99" s="3"/>
      <c r="N99" s="3"/>
      <c r="O99" s="3"/>
      <c r="P99" s="3"/>
      <c r="Q99" s="3"/>
      <c r="R99" s="3"/>
      <c r="S99" s="3"/>
      <c r="T99" s="16">
        <f>SUM(E99:S99)</f>
        <v>13</v>
      </c>
    </row>
    <row r="100" spans="1:21">
      <c r="A100" s="30" t="s">
        <v>194</v>
      </c>
      <c r="B100" s="43">
        <v>97</v>
      </c>
      <c r="C100" s="39" t="s">
        <v>320</v>
      </c>
      <c r="D100" s="3" t="s">
        <v>6</v>
      </c>
      <c r="E100" s="3"/>
      <c r="F100" s="3"/>
      <c r="G100" s="3"/>
      <c r="H100" s="3"/>
      <c r="I100" s="3"/>
      <c r="J100" s="3"/>
      <c r="K100" s="3">
        <v>13</v>
      </c>
      <c r="L100" s="3"/>
      <c r="M100" s="3"/>
      <c r="N100" s="3"/>
      <c r="O100" s="3"/>
      <c r="P100" s="3"/>
      <c r="Q100" s="3"/>
      <c r="R100" s="3"/>
      <c r="S100" s="3"/>
      <c r="T100" s="16">
        <f>SUM(E100:S100)</f>
        <v>13</v>
      </c>
    </row>
    <row r="101" spans="1:21">
      <c r="A101" s="30" t="s">
        <v>192</v>
      </c>
      <c r="B101" s="43">
        <v>97</v>
      </c>
      <c r="C101" s="3" t="s">
        <v>518</v>
      </c>
      <c r="D101" s="3" t="s">
        <v>47</v>
      </c>
      <c r="E101" s="3"/>
      <c r="F101" s="3"/>
      <c r="G101" s="3"/>
      <c r="H101" s="3"/>
      <c r="I101" s="3"/>
      <c r="J101" s="3"/>
      <c r="K101" s="3">
        <v>13</v>
      </c>
      <c r="L101" s="3"/>
      <c r="M101" s="3"/>
      <c r="N101" s="3"/>
      <c r="O101" s="3"/>
      <c r="P101" s="3"/>
      <c r="Q101" s="3"/>
      <c r="R101" s="3"/>
      <c r="S101" s="3"/>
      <c r="T101" s="16">
        <f>SUM(E101:S101)</f>
        <v>13</v>
      </c>
      <c r="U101" s="27"/>
    </row>
    <row r="102" spans="1:21">
      <c r="A102" s="30" t="s">
        <v>191</v>
      </c>
      <c r="B102" s="43">
        <v>97</v>
      </c>
      <c r="C102" s="3" t="s">
        <v>263</v>
      </c>
      <c r="D102" s="3" t="s">
        <v>150</v>
      </c>
      <c r="E102" s="3"/>
      <c r="F102" s="3"/>
      <c r="G102" s="3"/>
      <c r="H102" s="3"/>
      <c r="I102" s="3"/>
      <c r="J102" s="3"/>
      <c r="K102" s="3">
        <v>13</v>
      </c>
      <c r="L102" s="3"/>
      <c r="M102" s="3"/>
      <c r="N102" s="3"/>
      <c r="O102" s="3"/>
      <c r="P102" s="3"/>
      <c r="Q102" s="3"/>
      <c r="R102" s="3"/>
      <c r="S102" s="3"/>
      <c r="T102" s="16">
        <f>SUM(E102:S102)</f>
        <v>13</v>
      </c>
    </row>
    <row r="103" spans="1:21">
      <c r="A103" s="30" t="s">
        <v>234</v>
      </c>
      <c r="B103" s="43">
        <v>101</v>
      </c>
      <c r="C103" s="45" t="s">
        <v>17</v>
      </c>
      <c r="D103" s="3" t="s">
        <v>18</v>
      </c>
      <c r="E103" s="3">
        <v>10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16">
        <f>SUM(E103:S103)</f>
        <v>10</v>
      </c>
    </row>
    <row r="104" spans="1:21">
      <c r="A104" s="30" t="s">
        <v>232</v>
      </c>
      <c r="B104" s="43">
        <v>101</v>
      </c>
      <c r="C104" s="3" t="s">
        <v>528</v>
      </c>
      <c r="D104" s="3" t="s">
        <v>529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>
        <v>10</v>
      </c>
      <c r="T104" s="16">
        <f>SUM(E104:S104)</f>
        <v>10</v>
      </c>
    </row>
    <row r="105" spans="1:21">
      <c r="A105" s="30" t="s">
        <v>231</v>
      </c>
      <c r="B105" s="43">
        <v>101</v>
      </c>
      <c r="C105" s="45" t="s">
        <v>21</v>
      </c>
      <c r="D105" s="3" t="s">
        <v>6</v>
      </c>
      <c r="E105" s="3">
        <v>10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16">
        <f>SUM(E105:S105)</f>
        <v>10</v>
      </c>
    </row>
    <row r="106" spans="1:21">
      <c r="A106" s="30" t="s">
        <v>229</v>
      </c>
      <c r="B106" s="43">
        <v>101</v>
      </c>
      <c r="C106" s="45" t="s">
        <v>29</v>
      </c>
      <c r="D106" s="3" t="s">
        <v>30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>
        <v>10</v>
      </c>
      <c r="T106" s="16">
        <f>SUM(E106:S106)</f>
        <v>10</v>
      </c>
    </row>
    <row r="107" spans="1:21">
      <c r="A107" s="30" t="s">
        <v>226</v>
      </c>
      <c r="B107" s="43">
        <v>101</v>
      </c>
      <c r="C107" s="3" t="s">
        <v>33</v>
      </c>
      <c r="D107" s="3" t="s">
        <v>34</v>
      </c>
      <c r="E107" s="3"/>
      <c r="F107" s="3"/>
      <c r="G107" s="3">
        <v>10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16">
        <f>SUM(E107:S107)</f>
        <v>10</v>
      </c>
    </row>
    <row r="108" spans="1:21">
      <c r="A108" s="30" t="s">
        <v>224</v>
      </c>
      <c r="B108" s="43">
        <v>101</v>
      </c>
      <c r="C108" s="45" t="s">
        <v>76</v>
      </c>
      <c r="D108" s="3" t="s">
        <v>396</v>
      </c>
      <c r="E108" s="3">
        <v>10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16">
        <f>SUM(E108:S108)</f>
        <v>10</v>
      </c>
    </row>
    <row r="109" spans="1:21">
      <c r="A109" s="30" t="s">
        <v>223</v>
      </c>
      <c r="B109" s="43">
        <v>101</v>
      </c>
      <c r="C109" s="45" t="s">
        <v>468</v>
      </c>
      <c r="D109" s="3" t="s">
        <v>47</v>
      </c>
      <c r="E109" s="3">
        <v>10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16">
        <f>SUM(E109:S109)</f>
        <v>10</v>
      </c>
    </row>
    <row r="110" spans="1:21">
      <c r="A110" s="30" t="s">
        <v>221</v>
      </c>
      <c r="B110" s="43">
        <v>101</v>
      </c>
      <c r="C110" s="3" t="s">
        <v>89</v>
      </c>
      <c r="D110" s="3" t="s">
        <v>90</v>
      </c>
      <c r="E110" s="3">
        <v>10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16">
        <f>SUM(E110:S110)</f>
        <v>10</v>
      </c>
    </row>
    <row r="111" spans="1:21">
      <c r="A111" s="30" t="s">
        <v>218</v>
      </c>
      <c r="B111" s="43">
        <v>101</v>
      </c>
      <c r="C111" s="3" t="s">
        <v>525</v>
      </c>
      <c r="D111" s="3" t="s">
        <v>87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>
        <v>10</v>
      </c>
      <c r="R111" s="3"/>
      <c r="S111" s="3"/>
      <c r="T111" s="16">
        <f>SUM(E111:S111)</f>
        <v>10</v>
      </c>
    </row>
    <row r="112" spans="1:21">
      <c r="A112" s="30" t="s">
        <v>217</v>
      </c>
      <c r="B112" s="43">
        <v>101</v>
      </c>
      <c r="C112" s="45" t="s">
        <v>530</v>
      </c>
      <c r="D112" s="3" t="s">
        <v>5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>
        <v>10</v>
      </c>
      <c r="T112" s="16">
        <f>SUM(E112:S112)</f>
        <v>10</v>
      </c>
    </row>
    <row r="113" spans="1:21">
      <c r="A113" s="30" t="s">
        <v>216</v>
      </c>
      <c r="B113" s="43">
        <v>101</v>
      </c>
      <c r="C113" s="3" t="s">
        <v>383</v>
      </c>
      <c r="D113" s="3" t="s">
        <v>84</v>
      </c>
      <c r="E113" s="3"/>
      <c r="F113" s="3"/>
      <c r="G113" s="3">
        <v>10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16">
        <f>SUM(E113:S113)</f>
        <v>10</v>
      </c>
      <c r="U113" s="27"/>
    </row>
    <row r="114" spans="1:21">
      <c r="A114" s="30" t="s">
        <v>215</v>
      </c>
      <c r="B114" s="43">
        <v>101</v>
      </c>
      <c r="C114" s="3" t="s">
        <v>381</v>
      </c>
      <c r="D114" s="3" t="s">
        <v>135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>
        <v>10</v>
      </c>
      <c r="T114" s="16">
        <f>SUM(E114:S114)</f>
        <v>10</v>
      </c>
    </row>
    <row r="115" spans="1:21">
      <c r="A115" s="30" t="s">
        <v>214</v>
      </c>
      <c r="B115" s="43">
        <v>101</v>
      </c>
      <c r="C115" s="3" t="s">
        <v>478</v>
      </c>
      <c r="D115" s="3" t="s">
        <v>67</v>
      </c>
      <c r="E115" s="3"/>
      <c r="F115" s="3"/>
      <c r="G115" s="3">
        <v>10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16">
        <f>SUM(E115:S115)</f>
        <v>10</v>
      </c>
      <c r="U115" s="27"/>
    </row>
    <row r="116" spans="1:21">
      <c r="A116" s="30" t="s">
        <v>213</v>
      </c>
      <c r="B116" s="43">
        <v>101</v>
      </c>
      <c r="C116" s="3" t="s">
        <v>145</v>
      </c>
      <c r="D116" s="3" t="s">
        <v>148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>
        <v>10</v>
      </c>
      <c r="T116" s="16">
        <f>SUM(E116:S116)</f>
        <v>10</v>
      </c>
    </row>
    <row r="117" spans="1:21">
      <c r="A117" s="30" t="s">
        <v>210</v>
      </c>
      <c r="B117" s="43">
        <v>101</v>
      </c>
      <c r="C117" s="45" t="s">
        <v>358</v>
      </c>
      <c r="D117" s="3" t="s">
        <v>95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>
        <v>10</v>
      </c>
      <c r="S117" s="3"/>
      <c r="T117" s="16">
        <f>SUM(E117:S117)</f>
        <v>10</v>
      </c>
    </row>
    <row r="118" spans="1:21">
      <c r="A118" s="30" t="s">
        <v>209</v>
      </c>
      <c r="B118" s="43">
        <v>101</v>
      </c>
      <c r="C118" s="3" t="s">
        <v>481</v>
      </c>
      <c r="D118" s="3" t="s">
        <v>161</v>
      </c>
      <c r="E118" s="3"/>
      <c r="F118" s="3"/>
      <c r="G118" s="3">
        <v>10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16">
        <f>SUM(E118:S118)</f>
        <v>10</v>
      </c>
    </row>
    <row r="119" spans="1:21">
      <c r="A119" s="30" t="s">
        <v>207</v>
      </c>
      <c r="B119" s="43">
        <v>101</v>
      </c>
      <c r="C119" s="45" t="s">
        <v>482</v>
      </c>
      <c r="D119" s="3" t="s">
        <v>335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>
        <v>10</v>
      </c>
      <c r="S119" s="3"/>
      <c r="T119" s="16">
        <f>SUM(E119:S119)</f>
        <v>10</v>
      </c>
    </row>
    <row r="120" spans="1:21">
      <c r="A120" s="30" t="s">
        <v>204</v>
      </c>
      <c r="B120" s="43">
        <v>101</v>
      </c>
      <c r="C120" s="3" t="s">
        <v>359</v>
      </c>
      <c r="D120" s="3" t="s">
        <v>360</v>
      </c>
      <c r="E120" s="3">
        <v>10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16">
        <f>SUM(E120:S120)</f>
        <v>10</v>
      </c>
      <c r="U120" s="27"/>
    </row>
    <row r="121" spans="1:21">
      <c r="A121" s="30" t="s">
        <v>203</v>
      </c>
      <c r="B121" s="43">
        <v>101</v>
      </c>
      <c r="C121" s="3" t="s">
        <v>526</v>
      </c>
      <c r="D121" s="3" t="s">
        <v>527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>
        <v>10</v>
      </c>
      <c r="R121" s="3"/>
      <c r="S121" s="3"/>
      <c r="T121" s="16">
        <f>SUM(E121:S121)</f>
        <v>10</v>
      </c>
    </row>
    <row r="122" spans="1:21">
      <c r="A122" s="30" t="s">
        <v>405</v>
      </c>
      <c r="B122" s="43">
        <v>101</v>
      </c>
      <c r="C122" s="3" t="s">
        <v>323</v>
      </c>
      <c r="D122" s="3" t="s">
        <v>270</v>
      </c>
      <c r="E122" s="3">
        <v>10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16">
        <f>SUM(E122:S122)</f>
        <v>10</v>
      </c>
    </row>
    <row r="123" spans="1:21">
      <c r="A123" s="30" t="s">
        <v>201</v>
      </c>
      <c r="B123" s="43">
        <v>101</v>
      </c>
      <c r="C123" s="45" t="s">
        <v>329</v>
      </c>
      <c r="D123" s="3" t="s">
        <v>220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>
        <v>10</v>
      </c>
      <c r="R123" s="3"/>
      <c r="S123" s="3"/>
      <c r="T123" s="16">
        <f>SUM(E123:S123)</f>
        <v>10</v>
      </c>
    </row>
    <row r="124" spans="1:21">
      <c r="A124" s="30" t="s">
        <v>199</v>
      </c>
      <c r="B124" s="43">
        <v>101</v>
      </c>
      <c r="C124" s="3" t="s">
        <v>329</v>
      </c>
      <c r="D124" s="3" t="s">
        <v>14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>
        <v>10</v>
      </c>
      <c r="R124" s="3"/>
      <c r="S124" s="3"/>
      <c r="T124" s="16">
        <f>SUM(E124:S124)</f>
        <v>10</v>
      </c>
    </row>
    <row r="125" spans="1:21">
      <c r="A125" s="30" t="s">
        <v>198</v>
      </c>
      <c r="B125" s="43">
        <v>101</v>
      </c>
      <c r="C125" s="3" t="s">
        <v>489</v>
      </c>
      <c r="D125" s="3" t="s">
        <v>283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>
        <v>10</v>
      </c>
      <c r="T125" s="16">
        <f>SUM(E125:S125)</f>
        <v>10</v>
      </c>
    </row>
    <row r="126" spans="1:21">
      <c r="A126" s="30" t="s">
        <v>238</v>
      </c>
      <c r="B126" s="43">
        <v>124</v>
      </c>
      <c r="C126" s="3" t="s">
        <v>520</v>
      </c>
      <c r="D126" s="3" t="s">
        <v>5</v>
      </c>
      <c r="E126" s="3"/>
      <c r="F126" s="3"/>
      <c r="G126" s="3"/>
      <c r="H126" s="3"/>
      <c r="I126" s="3"/>
      <c r="J126" s="3"/>
      <c r="K126" s="3"/>
      <c r="L126" s="3"/>
      <c r="M126" s="3">
        <v>9</v>
      </c>
      <c r="N126" s="3"/>
      <c r="O126" s="3"/>
      <c r="P126" s="3"/>
      <c r="Q126" s="3"/>
      <c r="R126" s="3"/>
      <c r="S126" s="3"/>
      <c r="T126" s="16">
        <f>SUM(E126:S126)</f>
        <v>9</v>
      </c>
    </row>
    <row r="127" spans="1:21">
      <c r="A127" s="30" t="s">
        <v>236</v>
      </c>
      <c r="B127" s="43">
        <v>124</v>
      </c>
      <c r="C127" s="46" t="s">
        <v>266</v>
      </c>
      <c r="D127" s="3" t="s">
        <v>267</v>
      </c>
      <c r="E127" s="3"/>
      <c r="F127" s="3"/>
      <c r="G127" s="3"/>
      <c r="H127" s="3">
        <v>9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16">
        <f>SUM(E127:S127)</f>
        <v>9</v>
      </c>
    </row>
    <row r="128" spans="1:21">
      <c r="A128" s="30" t="s">
        <v>248</v>
      </c>
      <c r="B128" s="43">
        <v>126</v>
      </c>
      <c r="C128" s="45" t="s">
        <v>46</v>
      </c>
      <c r="D128" s="3" t="s">
        <v>47</v>
      </c>
      <c r="E128" s="3">
        <v>5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16">
        <f>SUM(E128:S128)</f>
        <v>5</v>
      </c>
    </row>
    <row r="129" spans="1:21">
      <c r="A129" s="30" t="s">
        <v>246</v>
      </c>
      <c r="B129" s="43">
        <v>126</v>
      </c>
      <c r="C129" s="45" t="s">
        <v>62</v>
      </c>
      <c r="D129" s="3" t="s">
        <v>63</v>
      </c>
      <c r="E129" s="3">
        <v>5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16">
        <f>SUM(E129:S129)</f>
        <v>5</v>
      </c>
      <c r="U129" s="27"/>
    </row>
    <row r="130" spans="1:21">
      <c r="A130" s="30" t="s">
        <v>245</v>
      </c>
      <c r="B130" s="43">
        <v>126</v>
      </c>
      <c r="C130" s="3" t="s">
        <v>391</v>
      </c>
      <c r="D130" s="3" t="s">
        <v>392</v>
      </c>
      <c r="E130" s="3">
        <v>5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16">
        <f>SUM(E130:S130)</f>
        <v>5</v>
      </c>
    </row>
    <row r="131" spans="1:21">
      <c r="A131" s="30" t="s">
        <v>243</v>
      </c>
      <c r="B131" s="43">
        <v>126</v>
      </c>
      <c r="C131" s="3" t="s">
        <v>118</v>
      </c>
      <c r="D131" s="3" t="s">
        <v>119</v>
      </c>
      <c r="E131" s="3">
        <v>5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16">
        <f>SUM(E131:S131)</f>
        <v>5</v>
      </c>
    </row>
    <row r="132" spans="1:21">
      <c r="A132" s="30" t="s">
        <v>242</v>
      </c>
      <c r="B132" s="43">
        <v>126</v>
      </c>
      <c r="C132" s="45" t="s">
        <v>173</v>
      </c>
      <c r="D132" s="3" t="s">
        <v>5</v>
      </c>
      <c r="E132" s="3">
        <v>5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16">
        <f>SUM(E132:S132)</f>
        <v>5</v>
      </c>
      <c r="U132" s="27"/>
    </row>
    <row r="133" spans="1:21">
      <c r="A133" s="30" t="s">
        <v>239</v>
      </c>
      <c r="B133" s="43">
        <v>126</v>
      </c>
      <c r="C133" s="45" t="s">
        <v>483</v>
      </c>
      <c r="D133" s="3" t="s">
        <v>484</v>
      </c>
      <c r="E133" s="3">
        <v>5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16">
        <f>SUM(E133:S133)</f>
        <v>5</v>
      </c>
    </row>
    <row r="134" spans="1:21">
      <c r="A134" s="30" t="s">
        <v>555</v>
      </c>
      <c r="B134" s="43">
        <v>132</v>
      </c>
      <c r="C134" s="3" t="s">
        <v>273</v>
      </c>
      <c r="D134" s="3" t="s">
        <v>274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16">
        <f>SUM(E134:S134)</f>
        <v>0</v>
      </c>
    </row>
    <row r="135" spans="1:21">
      <c r="A135" s="30" t="s">
        <v>554</v>
      </c>
      <c r="B135" s="43">
        <v>132</v>
      </c>
      <c r="C135" s="3" t="s">
        <v>7</v>
      </c>
      <c r="D135" s="3" t="s">
        <v>5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16">
        <f>SUM(E135:S135)</f>
        <v>0</v>
      </c>
    </row>
    <row r="136" spans="1:21">
      <c r="A136" s="30" t="s">
        <v>553</v>
      </c>
      <c r="B136" s="43">
        <v>132</v>
      </c>
      <c r="C136" s="3" t="s">
        <v>277</v>
      </c>
      <c r="D136" s="3" t="s">
        <v>278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16">
        <f>SUM(E136:S136)</f>
        <v>0</v>
      </c>
    </row>
    <row r="137" spans="1:21">
      <c r="A137" s="30" t="s">
        <v>552</v>
      </c>
      <c r="B137" s="43">
        <v>132</v>
      </c>
      <c r="C137" s="3" t="s">
        <v>467</v>
      </c>
      <c r="D137" s="3" t="s">
        <v>47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16">
        <f>SUM(E137:S137)</f>
        <v>0</v>
      </c>
    </row>
    <row r="138" spans="1:21">
      <c r="A138" s="30" t="s">
        <v>551</v>
      </c>
      <c r="B138" s="43">
        <v>132</v>
      </c>
      <c r="C138" s="39" t="s">
        <v>343</v>
      </c>
      <c r="D138" s="3" t="s">
        <v>67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16">
        <f>SUM(E138:S138)</f>
        <v>0</v>
      </c>
      <c r="U138" s="27"/>
    </row>
    <row r="139" spans="1:21">
      <c r="A139" s="30" t="s">
        <v>550</v>
      </c>
      <c r="B139" s="43">
        <v>132</v>
      </c>
      <c r="C139" s="3" t="s">
        <v>26</v>
      </c>
      <c r="D139" s="3" t="s">
        <v>27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16">
        <f>SUM(E139:S139)</f>
        <v>0</v>
      </c>
    </row>
    <row r="140" spans="1:21">
      <c r="A140" s="30" t="s">
        <v>549</v>
      </c>
      <c r="B140" s="43">
        <v>132</v>
      </c>
      <c r="C140" s="3" t="s">
        <v>346</v>
      </c>
      <c r="D140" s="3" t="s">
        <v>252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16">
        <f>SUM(E140:S140)</f>
        <v>0</v>
      </c>
    </row>
    <row r="141" spans="1:21">
      <c r="A141" s="30" t="s">
        <v>548</v>
      </c>
      <c r="B141" s="43">
        <v>132</v>
      </c>
      <c r="C141" s="3" t="s">
        <v>347</v>
      </c>
      <c r="D141" s="3" t="s">
        <v>63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16">
        <f>SUM(E141:S141)</f>
        <v>0</v>
      </c>
    </row>
    <row r="142" spans="1:21">
      <c r="A142" s="30" t="s">
        <v>541</v>
      </c>
      <c r="B142" s="43">
        <v>132</v>
      </c>
      <c r="C142" s="39" t="s">
        <v>93</v>
      </c>
      <c r="D142" s="3" t="s">
        <v>161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16">
        <f>SUM(E142:S142)</f>
        <v>0</v>
      </c>
    </row>
    <row r="143" spans="1:21">
      <c r="A143" s="30" t="s">
        <v>540</v>
      </c>
      <c r="B143" s="43">
        <v>132</v>
      </c>
      <c r="C143" s="3" t="s">
        <v>385</v>
      </c>
      <c r="D143" s="3" t="s">
        <v>230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16">
        <f>SUM(E143:S143)</f>
        <v>0</v>
      </c>
      <c r="U143" s="27"/>
    </row>
    <row r="144" spans="1:21">
      <c r="A144" s="30" t="s">
        <v>539</v>
      </c>
      <c r="B144" s="43">
        <v>132</v>
      </c>
      <c r="C144" s="3" t="s">
        <v>542</v>
      </c>
      <c r="D144" s="3" t="s">
        <v>335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16">
        <f>SUM(E144:S144)</f>
        <v>0</v>
      </c>
      <c r="U144" s="27"/>
    </row>
    <row r="145" spans="1:21">
      <c r="A145" s="30" t="s">
        <v>538</v>
      </c>
      <c r="B145" s="43">
        <v>132</v>
      </c>
      <c r="C145" s="3" t="s">
        <v>49</v>
      </c>
      <c r="D145" s="3" t="s">
        <v>50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16">
        <f>SUM(E145:S145)</f>
        <v>0</v>
      </c>
    </row>
    <row r="146" spans="1:21">
      <c r="A146" s="30" t="s">
        <v>537</v>
      </c>
      <c r="B146" s="43">
        <v>132</v>
      </c>
      <c r="C146" s="3" t="s">
        <v>54</v>
      </c>
      <c r="D146" s="3" t="s">
        <v>55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16">
        <f>SUM(E146:S146)</f>
        <v>0</v>
      </c>
      <c r="U146" s="27"/>
    </row>
    <row r="147" spans="1:21">
      <c r="A147" s="30" t="s">
        <v>536</v>
      </c>
      <c r="B147" s="43">
        <v>132</v>
      </c>
      <c r="C147" s="3" t="s">
        <v>66</v>
      </c>
      <c r="D147" s="3" t="s">
        <v>67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16">
        <f>SUM(E147:S147)</f>
        <v>0</v>
      </c>
    </row>
    <row r="148" spans="1:21">
      <c r="A148" s="30" t="s">
        <v>535</v>
      </c>
      <c r="B148" s="43">
        <v>132</v>
      </c>
      <c r="C148" s="3" t="s">
        <v>69</v>
      </c>
      <c r="D148" s="3" t="s">
        <v>70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16">
        <f>SUM(E148:S148)</f>
        <v>0</v>
      </c>
    </row>
    <row r="149" spans="1:21">
      <c r="A149" s="30" t="s">
        <v>534</v>
      </c>
      <c r="B149" s="43">
        <v>132</v>
      </c>
      <c r="C149" s="3" t="s">
        <v>72</v>
      </c>
      <c r="D149" s="3" t="s">
        <v>73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16">
        <f>SUM(E149:S149)</f>
        <v>0</v>
      </c>
    </row>
    <row r="150" spans="1:21">
      <c r="A150" s="30" t="s">
        <v>533</v>
      </c>
      <c r="B150" s="43">
        <v>132</v>
      </c>
      <c r="C150" s="3" t="s">
        <v>76</v>
      </c>
      <c r="D150" s="3" t="s">
        <v>79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16">
        <f>SUM(E150:S150)</f>
        <v>0</v>
      </c>
    </row>
    <row r="151" spans="1:21">
      <c r="A151" s="30" t="s">
        <v>532</v>
      </c>
      <c r="B151" s="43">
        <v>132</v>
      </c>
      <c r="C151" s="3" t="s">
        <v>83</v>
      </c>
      <c r="D151" s="3" t="s">
        <v>84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16">
        <f>SUM(E151:S151)</f>
        <v>0</v>
      </c>
    </row>
    <row r="152" spans="1:21">
      <c r="A152" s="30" t="s">
        <v>531</v>
      </c>
      <c r="B152" s="43">
        <v>132</v>
      </c>
      <c r="C152" s="3" t="s">
        <v>386</v>
      </c>
      <c r="D152" s="3" t="s">
        <v>14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16">
        <f>SUM(E152:S152)</f>
        <v>0</v>
      </c>
    </row>
    <row r="153" spans="1:21">
      <c r="A153" s="30" t="s">
        <v>498</v>
      </c>
      <c r="B153" s="43">
        <v>132</v>
      </c>
      <c r="C153" s="3" t="s">
        <v>408</v>
      </c>
      <c r="D153" s="3" t="s">
        <v>116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16">
        <f>SUM(E153:S153)</f>
        <v>0</v>
      </c>
    </row>
    <row r="154" spans="1:21">
      <c r="A154" s="30" t="s">
        <v>497</v>
      </c>
      <c r="B154" s="43">
        <v>132</v>
      </c>
      <c r="C154" s="3" t="s">
        <v>366</v>
      </c>
      <c r="D154" s="3" t="s">
        <v>252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16">
        <f>SUM(E154:S154)</f>
        <v>0</v>
      </c>
      <c r="U154" s="27"/>
    </row>
    <row r="155" spans="1:21">
      <c r="A155" s="30" t="s">
        <v>496</v>
      </c>
      <c r="B155" s="43">
        <v>132</v>
      </c>
      <c r="C155" s="3" t="s">
        <v>469</v>
      </c>
      <c r="D155" s="3" t="s">
        <v>5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16">
        <f>SUM(E155:S155)</f>
        <v>0</v>
      </c>
    </row>
    <row r="156" spans="1:21">
      <c r="A156" s="30" t="s">
        <v>495</v>
      </c>
      <c r="B156" s="43">
        <v>132</v>
      </c>
      <c r="C156" s="3" t="s">
        <v>470</v>
      </c>
      <c r="D156" s="3" t="s">
        <v>471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16">
        <f>SUM(E156:S156)</f>
        <v>0</v>
      </c>
      <c r="U156" s="27"/>
    </row>
    <row r="157" spans="1:21">
      <c r="A157" s="30" t="s">
        <v>494</v>
      </c>
      <c r="B157" s="43">
        <v>132</v>
      </c>
      <c r="C157" s="3" t="s">
        <v>352</v>
      </c>
      <c r="D157" s="3" t="s">
        <v>353</v>
      </c>
      <c r="E157" s="3"/>
      <c r="F157" s="3"/>
      <c r="G157" s="3"/>
      <c r="H157" s="3"/>
      <c r="I157" s="48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16">
        <f>SUM(E157:S157)</f>
        <v>0</v>
      </c>
      <c r="U157" s="27"/>
    </row>
    <row r="158" spans="1:21">
      <c r="A158" s="30" t="s">
        <v>493</v>
      </c>
      <c r="B158" s="43">
        <v>132</v>
      </c>
      <c r="C158" s="3" t="s">
        <v>473</v>
      </c>
      <c r="D158" s="3" t="s">
        <v>102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16">
        <f>SUM(E158:S158)</f>
        <v>0</v>
      </c>
    </row>
    <row r="159" spans="1:21">
      <c r="A159" s="30" t="s">
        <v>417</v>
      </c>
      <c r="B159" s="43">
        <v>132</v>
      </c>
      <c r="C159" s="39" t="s">
        <v>543</v>
      </c>
      <c r="D159" s="3" t="s">
        <v>135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16">
        <f>SUM(E159:S159)</f>
        <v>0</v>
      </c>
    </row>
    <row r="160" spans="1:21">
      <c r="A160" s="30" t="s">
        <v>416</v>
      </c>
      <c r="B160" s="43">
        <v>132</v>
      </c>
      <c r="C160" s="3" t="s">
        <v>115</v>
      </c>
      <c r="D160" s="3" t="s">
        <v>138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16">
        <f>SUM(E160:S160)</f>
        <v>0</v>
      </c>
    </row>
    <row r="161" spans="1:21">
      <c r="A161" s="30" t="s">
        <v>415</v>
      </c>
      <c r="B161" s="43">
        <v>132</v>
      </c>
      <c r="C161" s="3" t="s">
        <v>479</v>
      </c>
      <c r="D161" s="3" t="s">
        <v>252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16">
        <f>SUM(E161:S161)</f>
        <v>0</v>
      </c>
      <c r="U161" s="27"/>
    </row>
    <row r="162" spans="1:21">
      <c r="A162" s="30" t="s">
        <v>414</v>
      </c>
      <c r="B162" s="43">
        <v>132</v>
      </c>
      <c r="C162" s="3" t="s">
        <v>143</v>
      </c>
      <c r="D162" s="3" t="s">
        <v>57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16">
        <f>SUM(E162:S162)</f>
        <v>0</v>
      </c>
    </row>
    <row r="163" spans="1:21">
      <c r="A163" s="30" t="s">
        <v>407</v>
      </c>
      <c r="B163" s="43">
        <v>132</v>
      </c>
      <c r="C163" s="3" t="s">
        <v>322</v>
      </c>
      <c r="D163" s="3" t="s">
        <v>150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16">
        <f>SUM(E163:S163)</f>
        <v>0</v>
      </c>
    </row>
    <row r="164" spans="1:21">
      <c r="A164" s="30" t="s">
        <v>406</v>
      </c>
      <c r="B164" s="43">
        <v>132</v>
      </c>
      <c r="C164" s="3" t="s">
        <v>356</v>
      </c>
      <c r="D164" s="3" t="s">
        <v>357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16">
        <f>SUM(E164:S164)</f>
        <v>0</v>
      </c>
    </row>
    <row r="165" spans="1:21">
      <c r="A165" s="30" t="s">
        <v>401</v>
      </c>
      <c r="B165" s="43">
        <v>132</v>
      </c>
      <c r="C165" s="3" t="s">
        <v>374</v>
      </c>
      <c r="D165" s="3" t="s">
        <v>375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16">
        <f>SUM(E165:S165)</f>
        <v>0</v>
      </c>
    </row>
    <row r="166" spans="1:21">
      <c r="A166" s="30" t="s">
        <v>400</v>
      </c>
      <c r="B166" s="43">
        <v>132</v>
      </c>
      <c r="C166" s="3" t="s">
        <v>279</v>
      </c>
      <c r="D166" s="3" t="s">
        <v>14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16">
        <f>SUM(E166:S166)</f>
        <v>0</v>
      </c>
    </row>
    <row r="167" spans="1:21">
      <c r="A167" s="30" t="s">
        <v>399</v>
      </c>
      <c r="B167" s="43">
        <v>132</v>
      </c>
      <c r="C167" s="3" t="s">
        <v>156</v>
      </c>
      <c r="D167" s="3" t="s">
        <v>157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16">
        <f>SUM(E167:S167)</f>
        <v>0</v>
      </c>
    </row>
    <row r="168" spans="1:21">
      <c r="A168" s="30" t="s">
        <v>398</v>
      </c>
      <c r="B168" s="43">
        <v>132</v>
      </c>
      <c r="C168" s="3" t="s">
        <v>163</v>
      </c>
      <c r="D168" s="3" t="s">
        <v>63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16">
        <f>SUM(E168:S168)</f>
        <v>0</v>
      </c>
    </row>
    <row r="169" spans="1:21">
      <c r="A169" s="30" t="s">
        <v>397</v>
      </c>
      <c r="B169" s="43">
        <v>132</v>
      </c>
      <c r="C169" s="3" t="s">
        <v>480</v>
      </c>
      <c r="D169" s="3" t="s">
        <v>230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16">
        <f>SUM(E169:S169)</f>
        <v>0</v>
      </c>
    </row>
    <row r="170" spans="1:21">
      <c r="A170" s="30" t="s">
        <v>371</v>
      </c>
      <c r="B170" s="43">
        <v>132</v>
      </c>
      <c r="C170" s="3" t="s">
        <v>514</v>
      </c>
      <c r="D170" s="3" t="s">
        <v>125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16">
        <f>SUM(E170:S170)</f>
        <v>0</v>
      </c>
    </row>
    <row r="171" spans="1:21">
      <c r="A171" s="30" t="s">
        <v>370</v>
      </c>
      <c r="B171" s="43">
        <v>132</v>
      </c>
      <c r="C171" s="3" t="s">
        <v>175</v>
      </c>
      <c r="D171" s="3" t="s">
        <v>108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16">
        <f>SUM(E171:S171)</f>
        <v>0</v>
      </c>
      <c r="U171" s="27"/>
    </row>
    <row r="172" spans="1:21">
      <c r="A172" s="30" t="s">
        <v>369</v>
      </c>
      <c r="B172" s="43">
        <v>132</v>
      </c>
      <c r="C172" s="3" t="s">
        <v>178</v>
      </c>
      <c r="D172" s="3" t="s">
        <v>5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16">
        <f>SUM(E172:S172)</f>
        <v>0</v>
      </c>
    </row>
    <row r="173" spans="1:21">
      <c r="A173" s="30" t="s">
        <v>368</v>
      </c>
      <c r="B173" s="43">
        <v>132</v>
      </c>
      <c r="C173" s="39" t="s">
        <v>187</v>
      </c>
      <c r="D173" s="3" t="s">
        <v>188</v>
      </c>
      <c r="E173" s="12"/>
      <c r="F173" s="12"/>
      <c r="G173" s="12"/>
      <c r="H173" s="12"/>
      <c r="I173" s="12"/>
      <c r="J173" s="12"/>
      <c r="K173" s="3"/>
      <c r="L173" s="12"/>
      <c r="M173" s="12"/>
      <c r="N173" s="12"/>
      <c r="O173" s="12"/>
      <c r="P173" s="12"/>
      <c r="Q173" s="12"/>
      <c r="R173" s="12"/>
      <c r="S173" s="12"/>
      <c r="T173" s="16">
        <f>SUM(E173:S173)</f>
        <v>0</v>
      </c>
    </row>
    <row r="174" spans="1:21">
      <c r="A174" s="30" t="s">
        <v>367</v>
      </c>
      <c r="B174" s="43">
        <v>132</v>
      </c>
      <c r="C174" s="3" t="s">
        <v>195</v>
      </c>
      <c r="D174" s="3" t="s">
        <v>196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16">
        <f>SUM(E174:S174)</f>
        <v>0</v>
      </c>
    </row>
    <row r="175" spans="1:21">
      <c r="A175" s="30" t="s">
        <v>365</v>
      </c>
      <c r="B175" s="43">
        <v>132</v>
      </c>
      <c r="C175" s="3" t="s">
        <v>372</v>
      </c>
      <c r="D175" s="3" t="s">
        <v>6</v>
      </c>
      <c r="E175" s="13"/>
      <c r="F175" s="3"/>
      <c r="G175" s="3"/>
      <c r="H175" s="13"/>
      <c r="I175" s="13"/>
      <c r="J175" s="13"/>
      <c r="K175" s="13"/>
      <c r="L175" s="13"/>
      <c r="M175" s="13"/>
      <c r="N175" s="12"/>
      <c r="O175" s="12"/>
      <c r="P175" s="13"/>
      <c r="Q175" s="15"/>
      <c r="R175" s="13"/>
      <c r="S175" s="13"/>
      <c r="T175" s="16">
        <f>SUM(E175:S175)</f>
        <v>0</v>
      </c>
      <c r="U175" s="27"/>
    </row>
    <row r="176" spans="1:21">
      <c r="A176" s="30" t="s">
        <v>364</v>
      </c>
      <c r="B176" s="43">
        <v>132</v>
      </c>
      <c r="C176" s="3" t="s">
        <v>200</v>
      </c>
      <c r="D176" s="3" t="s">
        <v>161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16">
        <f>SUM(E176:S176)</f>
        <v>0</v>
      </c>
    </row>
    <row r="177" spans="1:21">
      <c r="A177" s="30" t="s">
        <v>363</v>
      </c>
      <c r="B177" s="43">
        <v>132</v>
      </c>
      <c r="C177" s="3" t="s">
        <v>378</v>
      </c>
      <c r="D177" s="3" t="s">
        <v>379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16">
        <f>SUM(E177:S177)</f>
        <v>0</v>
      </c>
      <c r="U177" s="28"/>
    </row>
    <row r="178" spans="1:21">
      <c r="A178" s="30" t="s">
        <v>342</v>
      </c>
      <c r="B178" s="43">
        <v>132</v>
      </c>
      <c r="C178" s="3" t="s">
        <v>544</v>
      </c>
      <c r="D178" s="3" t="s">
        <v>5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16">
        <f>SUM(E178:S178)</f>
        <v>0</v>
      </c>
    </row>
    <row r="179" spans="1:21">
      <c r="A179" s="30" t="s">
        <v>341</v>
      </c>
      <c r="B179" s="43">
        <v>132</v>
      </c>
      <c r="C179" s="3" t="s">
        <v>208</v>
      </c>
      <c r="D179" s="3" t="s">
        <v>5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16">
        <f>SUM(E179:S179)</f>
        <v>0</v>
      </c>
    </row>
    <row r="180" spans="1:21">
      <c r="A180" s="30" t="s">
        <v>337</v>
      </c>
      <c r="B180" s="43">
        <v>132</v>
      </c>
      <c r="C180" s="3" t="s">
        <v>211</v>
      </c>
      <c r="D180" s="3" t="s">
        <v>212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16">
        <f>SUM(E180:S180)</f>
        <v>0</v>
      </c>
    </row>
    <row r="181" spans="1:21">
      <c r="A181" s="30" t="s">
        <v>336</v>
      </c>
      <c r="B181" s="43">
        <v>132</v>
      </c>
      <c r="C181" s="3" t="s">
        <v>286</v>
      </c>
      <c r="D181" s="3" t="s">
        <v>287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16">
        <f>SUM(E181:S181)</f>
        <v>0</v>
      </c>
    </row>
    <row r="182" spans="1:21">
      <c r="A182" s="30" t="s">
        <v>333</v>
      </c>
      <c r="B182" s="43">
        <v>132</v>
      </c>
      <c r="C182" s="3" t="s">
        <v>485</v>
      </c>
      <c r="D182" s="3" t="s">
        <v>90</v>
      </c>
      <c r="E182" s="3"/>
      <c r="F182" s="3"/>
      <c r="G182" s="3"/>
      <c r="H182" s="3"/>
      <c r="I182" s="38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16">
        <f>SUM(E182:S182)</f>
        <v>0</v>
      </c>
    </row>
    <row r="183" spans="1:21">
      <c r="A183" s="30" t="s">
        <v>299</v>
      </c>
      <c r="B183" s="43">
        <v>132</v>
      </c>
      <c r="C183" s="3" t="s">
        <v>233</v>
      </c>
      <c r="D183" s="3" t="s">
        <v>206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16">
        <f>SUM(E183:S183)</f>
        <v>0</v>
      </c>
    </row>
    <row r="184" spans="1:21">
      <c r="A184" s="30" t="s">
        <v>298</v>
      </c>
      <c r="B184" s="43">
        <v>132</v>
      </c>
      <c r="C184" s="3" t="s">
        <v>486</v>
      </c>
      <c r="D184" s="3" t="s">
        <v>487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16">
        <f>SUM(E184:S184)</f>
        <v>0</v>
      </c>
    </row>
    <row r="185" spans="1:21">
      <c r="A185" s="30" t="s">
        <v>297</v>
      </c>
      <c r="B185" s="43">
        <v>132</v>
      </c>
      <c r="C185" s="3" t="s">
        <v>340</v>
      </c>
      <c r="D185" s="3" t="s">
        <v>108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16">
        <f>SUM(E185:S185)</f>
        <v>0</v>
      </c>
    </row>
    <row r="186" spans="1:21">
      <c r="A186" s="30" t="s">
        <v>296</v>
      </c>
      <c r="B186" s="43">
        <v>132</v>
      </c>
      <c r="C186" s="3" t="s">
        <v>490</v>
      </c>
      <c r="D186" s="3" t="s">
        <v>379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16">
        <f>SUM(E186:S186)</f>
        <v>0</v>
      </c>
    </row>
    <row r="187" spans="1:21">
      <c r="A187" s="30" t="s">
        <v>295</v>
      </c>
      <c r="B187" s="43">
        <v>132</v>
      </c>
      <c r="C187" s="39" t="s">
        <v>491</v>
      </c>
      <c r="D187" s="3" t="s">
        <v>150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16">
        <f>SUM(E187:S187)</f>
        <v>0</v>
      </c>
    </row>
    <row r="188" spans="1:21">
      <c r="A188" s="30" t="s">
        <v>294</v>
      </c>
      <c r="B188" s="43">
        <v>132</v>
      </c>
      <c r="C188" s="3" t="s">
        <v>247</v>
      </c>
      <c r="D188" s="3" t="s">
        <v>339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16">
        <f>SUM(E188:S188)</f>
        <v>0</v>
      </c>
    </row>
    <row r="189" spans="1:21">
      <c r="A189" s="30" t="s">
        <v>293</v>
      </c>
      <c r="B189" s="43">
        <v>132</v>
      </c>
      <c r="C189" s="3" t="s">
        <v>249</v>
      </c>
      <c r="D189" s="3" t="s">
        <v>95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16">
        <f>SUM(E189:S189)</f>
        <v>0</v>
      </c>
    </row>
    <row r="190" spans="1:21">
      <c r="A190" s="30" t="s">
        <v>292</v>
      </c>
      <c r="B190" s="43">
        <v>132</v>
      </c>
      <c r="C190" s="3" t="s">
        <v>251</v>
      </c>
      <c r="D190" s="3" t="s">
        <v>252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16">
        <f>SUM(E190:S190)</f>
        <v>0</v>
      </c>
    </row>
    <row r="191" spans="1:21">
      <c r="A191" s="30" t="s">
        <v>291</v>
      </c>
      <c r="B191" s="43">
        <v>132</v>
      </c>
      <c r="C191" s="3" t="s">
        <v>409</v>
      </c>
      <c r="D191" s="3" t="s">
        <v>410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16">
        <f>SUM(E191:S191)</f>
        <v>0</v>
      </c>
    </row>
    <row r="192" spans="1:21">
      <c r="A192" s="30" t="s">
        <v>290</v>
      </c>
      <c r="B192" s="43">
        <v>132</v>
      </c>
      <c r="C192" s="3" t="s">
        <v>545</v>
      </c>
      <c r="D192" s="3" t="s">
        <v>6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16">
        <f>SUM(E192:S192)</f>
        <v>0</v>
      </c>
    </row>
    <row r="193" spans="1:20">
      <c r="A193" s="30" t="s">
        <v>261</v>
      </c>
      <c r="B193" s="43">
        <v>132</v>
      </c>
      <c r="C193" s="3" t="s">
        <v>331</v>
      </c>
      <c r="D193" s="3" t="s">
        <v>332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16">
        <f>SUM(E193:S193)</f>
        <v>0</v>
      </c>
    </row>
    <row r="194" spans="1:20">
      <c r="A194" s="30" t="s">
        <v>259</v>
      </c>
      <c r="B194" s="43">
        <v>132</v>
      </c>
      <c r="C194" s="3" t="s">
        <v>411</v>
      </c>
      <c r="D194" s="3" t="s">
        <v>412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16">
        <f>SUM(E194:S194)</f>
        <v>0</v>
      </c>
    </row>
    <row r="195" spans="1:20">
      <c r="A195" s="30" t="s">
        <v>258</v>
      </c>
      <c r="B195" s="43">
        <v>132</v>
      </c>
      <c r="C195" s="3" t="s">
        <v>512</v>
      </c>
      <c r="D195" s="3" t="s">
        <v>513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16">
        <f>SUM(E195:S195)</f>
        <v>0</v>
      </c>
    </row>
    <row r="196" spans="1:20">
      <c r="A196" s="30" t="s">
        <v>257</v>
      </c>
      <c r="B196" s="43">
        <v>132</v>
      </c>
      <c r="C196" s="3" t="s">
        <v>546</v>
      </c>
      <c r="D196" s="3" t="s">
        <v>6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16">
        <f>SUM(E196:S196)</f>
        <v>0</v>
      </c>
    </row>
    <row r="197" spans="1:20">
      <c r="A197" s="30" t="s">
        <v>254</v>
      </c>
      <c r="B197" s="43">
        <v>132</v>
      </c>
      <c r="C197" s="39" t="s">
        <v>547</v>
      </c>
      <c r="D197" s="3" t="s">
        <v>87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16">
        <f>SUM(E197:S197)</f>
        <v>0</v>
      </c>
    </row>
    <row r="198" spans="1:20">
      <c r="A198" s="30" t="s">
        <v>253</v>
      </c>
      <c r="B198" s="43">
        <v>132</v>
      </c>
      <c r="C198" s="3" t="s">
        <v>361</v>
      </c>
      <c r="D198" s="3" t="s">
        <v>362</v>
      </c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16">
        <f>SUM(E198:S198)</f>
        <v>0</v>
      </c>
    </row>
    <row r="199" spans="1:20">
      <c r="A199" s="30" t="s">
        <v>250</v>
      </c>
      <c r="B199" s="43">
        <v>132</v>
      </c>
      <c r="C199" s="3" t="s">
        <v>324</v>
      </c>
      <c r="D199" s="3" t="s">
        <v>325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16">
        <f>SUM(E199:S199)</f>
        <v>0</v>
      </c>
    </row>
  </sheetData>
  <sortState xmlns:xlrd2="http://schemas.microsoft.com/office/spreadsheetml/2017/richdata2" ref="A2:T199">
    <sortCondition descending="1" ref="T1:T199"/>
  </sortState>
  <phoneticPr fontId="9" type="noConversion"/>
  <pageMargins left="0.11811023622047245" right="0.11811023622047245" top="0.55118110236220474" bottom="0.55118110236220474" header="0.31496062992125984" footer="0.31496062992125984"/>
  <pageSetup paperSize="9" scale="6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38"/>
  <sheetViews>
    <sheetView workbookViewId="0">
      <selection activeCell="F9" sqref="F9"/>
    </sheetView>
  </sheetViews>
  <sheetFormatPr baseColWidth="10" defaultColWidth="8.83203125" defaultRowHeight="15"/>
  <cols>
    <col min="2" max="2" width="20.33203125" bestFit="1" customWidth="1"/>
    <col min="3" max="3" width="21.33203125" bestFit="1" customWidth="1"/>
    <col min="4" max="4" width="30.5" customWidth="1"/>
    <col min="5" max="5" width="25.33203125" customWidth="1"/>
    <col min="6" max="6" width="62.1640625" customWidth="1"/>
    <col min="7" max="7" width="20.33203125" customWidth="1"/>
    <col min="8" max="8" width="20.6640625" bestFit="1" customWidth="1"/>
  </cols>
  <sheetData>
    <row r="1" spans="1:7">
      <c r="A1" s="17" t="s">
        <v>309</v>
      </c>
      <c r="B1" s="17" t="s">
        <v>0</v>
      </c>
      <c r="C1" s="17" t="s">
        <v>1</v>
      </c>
      <c r="D1" s="17" t="s">
        <v>310</v>
      </c>
      <c r="E1" s="17" t="s">
        <v>311</v>
      </c>
      <c r="F1" s="17" t="s">
        <v>312</v>
      </c>
      <c r="G1" s="17" t="s">
        <v>437</v>
      </c>
    </row>
    <row r="2" spans="1:7" ht="21">
      <c r="A2" s="26">
        <v>1</v>
      </c>
      <c r="B2" s="25" t="s">
        <v>76</v>
      </c>
      <c r="C2" s="25" t="s">
        <v>55</v>
      </c>
      <c r="D2" s="2" t="s">
        <v>418</v>
      </c>
      <c r="E2" s="2" t="s">
        <v>435</v>
      </c>
      <c r="F2" s="2" t="s">
        <v>436</v>
      </c>
      <c r="G2" s="32">
        <v>820</v>
      </c>
    </row>
    <row r="3" spans="1:7" ht="21">
      <c r="A3" s="26">
        <v>1</v>
      </c>
      <c r="B3" s="25" t="s">
        <v>205</v>
      </c>
      <c r="C3" s="25" t="s">
        <v>206</v>
      </c>
      <c r="D3" s="30" t="s">
        <v>419</v>
      </c>
      <c r="E3" s="2" t="s">
        <v>438</v>
      </c>
      <c r="F3" s="2" t="s">
        <v>436</v>
      </c>
      <c r="G3" s="32">
        <v>820</v>
      </c>
    </row>
    <row r="4" spans="1:7" ht="21">
      <c r="A4" s="26">
        <v>3</v>
      </c>
      <c r="B4" s="25" t="s">
        <v>3</v>
      </c>
      <c r="C4" s="25" t="s">
        <v>315</v>
      </c>
      <c r="D4" s="30" t="s">
        <v>422</v>
      </c>
      <c r="E4" s="2" t="s">
        <v>442</v>
      </c>
      <c r="F4" s="2" t="s">
        <v>443</v>
      </c>
      <c r="G4" s="32">
        <v>590</v>
      </c>
    </row>
    <row r="5" spans="1:7" ht="21">
      <c r="A5" s="26">
        <v>4</v>
      </c>
      <c r="B5" s="25" t="s">
        <v>44</v>
      </c>
      <c r="C5" s="25" t="s">
        <v>5</v>
      </c>
      <c r="D5" s="30" t="s">
        <v>420</v>
      </c>
      <c r="E5" s="33" t="s">
        <v>460</v>
      </c>
      <c r="F5" s="2" t="s">
        <v>439</v>
      </c>
      <c r="G5" s="32">
        <v>328</v>
      </c>
    </row>
    <row r="6" spans="1:7" ht="21">
      <c r="A6" s="26">
        <v>5</v>
      </c>
      <c r="B6" s="25" t="s">
        <v>334</v>
      </c>
      <c r="C6" s="25" t="s">
        <v>335</v>
      </c>
      <c r="D6" s="30" t="s">
        <v>421</v>
      </c>
      <c r="E6" s="2" t="s">
        <v>440</v>
      </c>
      <c r="F6" s="2" t="s">
        <v>441</v>
      </c>
      <c r="G6" s="32">
        <v>328</v>
      </c>
    </row>
    <row r="7" spans="1:7" ht="21">
      <c r="A7" s="26">
        <v>6</v>
      </c>
      <c r="B7" s="25" t="s">
        <v>237</v>
      </c>
      <c r="C7" s="25" t="s">
        <v>6</v>
      </c>
      <c r="D7" s="30" t="s">
        <v>423</v>
      </c>
      <c r="E7" s="2" t="s">
        <v>444</v>
      </c>
      <c r="F7" s="2" t="s">
        <v>445</v>
      </c>
      <c r="G7" s="32">
        <v>328</v>
      </c>
    </row>
    <row r="8" spans="1:7" ht="21">
      <c r="A8" s="26">
        <v>7</v>
      </c>
      <c r="B8" s="25" t="s">
        <v>279</v>
      </c>
      <c r="C8" s="25" t="s">
        <v>280</v>
      </c>
      <c r="D8" s="30" t="s">
        <v>418</v>
      </c>
      <c r="E8" s="2" t="s">
        <v>446</v>
      </c>
      <c r="F8" s="2" t="s">
        <v>447</v>
      </c>
      <c r="G8" s="32">
        <v>299</v>
      </c>
    </row>
    <row r="9" spans="1:7" ht="21">
      <c r="A9" s="26">
        <v>8</v>
      </c>
      <c r="B9" s="25" t="s">
        <v>222</v>
      </c>
      <c r="C9" s="25" t="s">
        <v>36</v>
      </c>
      <c r="D9" s="30" t="s">
        <v>424</v>
      </c>
      <c r="E9" s="2" t="s">
        <v>446</v>
      </c>
      <c r="F9" s="2" t="s">
        <v>447</v>
      </c>
      <c r="G9" s="32">
        <v>299</v>
      </c>
    </row>
    <row r="10" spans="1:7" ht="21">
      <c r="A10" s="26">
        <v>9</v>
      </c>
      <c r="B10" s="25" t="s">
        <v>123</v>
      </c>
      <c r="C10" s="25" t="s">
        <v>125</v>
      </c>
      <c r="D10" s="30" t="s">
        <v>425</v>
      </c>
      <c r="E10" s="2">
        <v>40469010154</v>
      </c>
      <c r="F10" s="2" t="s">
        <v>448</v>
      </c>
      <c r="G10" s="32">
        <v>259</v>
      </c>
    </row>
    <row r="11" spans="1:7" ht="21">
      <c r="A11" s="26">
        <v>9</v>
      </c>
      <c r="B11" s="25" t="s">
        <v>247</v>
      </c>
      <c r="C11" s="25" t="s">
        <v>166</v>
      </c>
      <c r="D11" s="30" t="s">
        <v>426</v>
      </c>
      <c r="E11" s="2">
        <v>40469010154</v>
      </c>
      <c r="F11" s="2" t="s">
        <v>448</v>
      </c>
      <c r="G11" s="32">
        <v>259</v>
      </c>
    </row>
    <row r="12" spans="1:7" ht="21">
      <c r="A12" s="26">
        <v>11</v>
      </c>
      <c r="B12" s="25" t="s">
        <v>193</v>
      </c>
      <c r="C12" s="25" t="s">
        <v>108</v>
      </c>
      <c r="D12" s="30" t="s">
        <v>418</v>
      </c>
      <c r="E12" s="33" t="s">
        <v>449</v>
      </c>
      <c r="F12" s="2" t="s">
        <v>450</v>
      </c>
      <c r="G12" s="32">
        <v>265</v>
      </c>
    </row>
    <row r="13" spans="1:7" ht="21">
      <c r="A13" s="26">
        <v>12</v>
      </c>
      <c r="B13" s="25" t="s">
        <v>227</v>
      </c>
      <c r="C13" s="25" t="s">
        <v>228</v>
      </c>
      <c r="D13" s="30" t="s">
        <v>427</v>
      </c>
      <c r="E13" s="33" t="s">
        <v>449</v>
      </c>
      <c r="F13" s="2" t="s">
        <v>450</v>
      </c>
      <c r="G13" s="32">
        <v>265</v>
      </c>
    </row>
    <row r="14" spans="1:7" ht="21">
      <c r="A14" s="26">
        <v>12</v>
      </c>
      <c r="B14" s="25" t="s">
        <v>240</v>
      </c>
      <c r="C14" s="25" t="s">
        <v>241</v>
      </c>
      <c r="D14" s="30" t="s">
        <v>428</v>
      </c>
      <c r="E14" s="33" t="s">
        <v>449</v>
      </c>
      <c r="F14" s="2" t="s">
        <v>450</v>
      </c>
      <c r="G14" s="32">
        <v>265</v>
      </c>
    </row>
    <row r="15" spans="1:7" ht="21">
      <c r="A15" s="26">
        <v>14</v>
      </c>
      <c r="B15" s="25" t="s">
        <v>351</v>
      </c>
      <c r="C15" s="25" t="s">
        <v>95</v>
      </c>
      <c r="D15" s="30" t="s">
        <v>427</v>
      </c>
      <c r="E15" s="33" t="s">
        <v>451</v>
      </c>
      <c r="F15" s="2" t="s">
        <v>452</v>
      </c>
      <c r="G15" s="32">
        <v>246</v>
      </c>
    </row>
    <row r="16" spans="1:7" ht="21">
      <c r="A16" s="26">
        <v>15</v>
      </c>
      <c r="B16" s="25" t="s">
        <v>373</v>
      </c>
      <c r="C16" s="25" t="s">
        <v>5</v>
      </c>
      <c r="D16" s="30" t="s">
        <v>431</v>
      </c>
      <c r="E16" s="33" t="s">
        <v>451</v>
      </c>
      <c r="F16" s="2" t="s">
        <v>452</v>
      </c>
      <c r="G16" s="32">
        <v>246</v>
      </c>
    </row>
    <row r="17" spans="1:7" ht="21">
      <c r="A17" s="26">
        <v>16</v>
      </c>
      <c r="B17" s="25" t="s">
        <v>173</v>
      </c>
      <c r="C17" s="25" t="s">
        <v>5</v>
      </c>
      <c r="D17" s="30">
        <v>992</v>
      </c>
      <c r="E17" s="33" t="s">
        <v>453</v>
      </c>
      <c r="F17" s="2" t="s">
        <v>454</v>
      </c>
      <c r="G17" s="32">
        <v>165</v>
      </c>
    </row>
    <row r="18" spans="1:7" ht="21">
      <c r="A18" s="26">
        <v>16</v>
      </c>
      <c r="B18" s="25" t="s">
        <v>288</v>
      </c>
      <c r="C18" s="25" t="s">
        <v>289</v>
      </c>
      <c r="D18" s="30" t="s">
        <v>429</v>
      </c>
      <c r="E18" s="33" t="s">
        <v>453</v>
      </c>
      <c r="F18" s="2" t="s">
        <v>454</v>
      </c>
      <c r="G18" s="32">
        <v>165</v>
      </c>
    </row>
    <row r="19" spans="1:7" ht="21">
      <c r="A19" s="26">
        <v>18</v>
      </c>
      <c r="B19" s="25" t="s">
        <v>159</v>
      </c>
      <c r="C19" s="25" t="s">
        <v>36</v>
      </c>
      <c r="D19" s="30" t="s">
        <v>430</v>
      </c>
      <c r="E19" s="33" t="s">
        <v>455</v>
      </c>
      <c r="F19" s="2" t="s">
        <v>456</v>
      </c>
      <c r="G19" s="32">
        <v>138</v>
      </c>
    </row>
    <row r="20" spans="1:7" ht="21">
      <c r="A20" s="26">
        <v>19</v>
      </c>
      <c r="B20" s="25" t="s">
        <v>264</v>
      </c>
      <c r="C20" s="25" t="s">
        <v>14</v>
      </c>
      <c r="D20" s="30" t="s">
        <v>420</v>
      </c>
      <c r="E20" s="33" t="s">
        <v>455</v>
      </c>
      <c r="F20" s="2" t="s">
        <v>456</v>
      </c>
      <c r="G20" s="32">
        <v>138</v>
      </c>
    </row>
    <row r="21" spans="1:7" ht="21">
      <c r="A21" s="26">
        <v>20</v>
      </c>
      <c r="B21" s="25" t="s">
        <v>137</v>
      </c>
      <c r="C21" s="30" t="s">
        <v>138</v>
      </c>
      <c r="D21" s="30" t="s">
        <v>431</v>
      </c>
      <c r="E21" s="33" t="s">
        <v>457</v>
      </c>
      <c r="F21" s="2" t="s">
        <v>458</v>
      </c>
      <c r="G21" s="32">
        <v>138</v>
      </c>
    </row>
    <row r="22" spans="1:7" ht="21">
      <c r="A22" s="26">
        <v>20</v>
      </c>
      <c r="B22" s="25" t="s">
        <v>180</v>
      </c>
      <c r="C22" s="30" t="s">
        <v>181</v>
      </c>
      <c r="D22" s="30" t="s">
        <v>432</v>
      </c>
      <c r="E22" s="33" t="s">
        <v>457</v>
      </c>
      <c r="F22" s="33" t="s">
        <v>458</v>
      </c>
      <c r="G22" s="32">
        <v>138</v>
      </c>
    </row>
    <row r="23" spans="1:7">
      <c r="G23" s="19">
        <f>SUM(G2:G22)</f>
        <v>6499</v>
      </c>
    </row>
    <row r="24" spans="1:7" ht="21">
      <c r="D24" s="2" t="s">
        <v>459</v>
      </c>
      <c r="E24" s="2" t="s">
        <v>444</v>
      </c>
      <c r="F24" s="2" t="s">
        <v>445</v>
      </c>
    </row>
    <row r="25" spans="1:7" ht="21">
      <c r="D25" s="2" t="s">
        <v>434</v>
      </c>
      <c r="E25" s="2" t="s">
        <v>461</v>
      </c>
      <c r="F25" s="2" t="s">
        <v>433</v>
      </c>
      <c r="G25" s="24"/>
    </row>
    <row r="36" spans="2:6" ht="21">
      <c r="B36" s="25" t="s">
        <v>3</v>
      </c>
      <c r="C36" s="25" t="s">
        <v>315</v>
      </c>
      <c r="D36" s="30" t="s">
        <v>422</v>
      </c>
      <c r="E36" s="2" t="s">
        <v>442</v>
      </c>
      <c r="F36" s="2" t="s">
        <v>443</v>
      </c>
    </row>
    <row r="37" spans="2:6" ht="21">
      <c r="B37" s="25" t="s">
        <v>44</v>
      </c>
      <c r="C37" s="25" t="s">
        <v>5</v>
      </c>
      <c r="D37" s="30" t="s">
        <v>420</v>
      </c>
      <c r="E37" s="33" t="s">
        <v>460</v>
      </c>
      <c r="F37" s="2" t="s">
        <v>439</v>
      </c>
    </row>
    <row r="38" spans="2:6" ht="21">
      <c r="B38" s="25" t="s">
        <v>334</v>
      </c>
      <c r="C38" s="25" t="s">
        <v>335</v>
      </c>
      <c r="D38" s="30" t="s">
        <v>421</v>
      </c>
      <c r="E38" s="2" t="s">
        <v>440</v>
      </c>
      <c r="F38" s="2" t="s">
        <v>441</v>
      </c>
    </row>
  </sheetData>
  <phoneticPr fontId="9" type="noConversion"/>
  <pageMargins left="0.7" right="0.7" top="0.75" bottom="0.75" header="0.3" footer="0.3"/>
  <pageSetup paperSize="9" scale="6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5F5BA-B2C2-4C9D-8E56-49F8A0D1C05F}">
  <sheetPr>
    <pageSetUpPr fitToPage="1"/>
  </sheetPr>
  <dimension ref="A1:D13"/>
  <sheetViews>
    <sheetView workbookViewId="0">
      <selection activeCell="M12" sqref="M12"/>
    </sheetView>
  </sheetViews>
  <sheetFormatPr baseColWidth="10" defaultColWidth="8.83203125" defaultRowHeight="15"/>
  <cols>
    <col min="1" max="1" width="18.83203125" bestFit="1" customWidth="1"/>
    <col min="2" max="2" width="66.5" bestFit="1" customWidth="1"/>
    <col min="3" max="3" width="15" bestFit="1" customWidth="1"/>
  </cols>
  <sheetData>
    <row r="1" spans="1:4">
      <c r="A1" s="17" t="s">
        <v>311</v>
      </c>
      <c r="B1" s="20" t="s">
        <v>312</v>
      </c>
      <c r="C1" s="20" t="s">
        <v>313</v>
      </c>
      <c r="D1" s="20" t="s">
        <v>314</v>
      </c>
    </row>
    <row r="2" spans="1:4">
      <c r="A2" s="18"/>
      <c r="B2" s="21"/>
      <c r="C2" s="22"/>
      <c r="D2" s="20"/>
    </row>
    <row r="3" spans="1:4">
      <c r="A3" s="18"/>
      <c r="B3" s="21"/>
      <c r="C3" s="22"/>
      <c r="D3" s="20"/>
    </row>
    <row r="4" spans="1:4">
      <c r="A4" s="18"/>
      <c r="B4" s="21"/>
      <c r="C4" s="22"/>
      <c r="D4" s="20"/>
    </row>
    <row r="5" spans="1:4">
      <c r="A5" s="18"/>
      <c r="B5" s="21"/>
      <c r="C5" s="22"/>
      <c r="D5" s="20"/>
    </row>
    <row r="6" spans="1:4">
      <c r="A6" s="18"/>
      <c r="B6" s="21"/>
      <c r="C6" s="22"/>
      <c r="D6" s="20"/>
    </row>
    <row r="7" spans="1:4">
      <c r="A7" s="18"/>
      <c r="B7" s="21"/>
      <c r="C7" s="22"/>
      <c r="D7" s="20"/>
    </row>
    <row r="8" spans="1:4">
      <c r="A8" s="18"/>
      <c r="B8" s="21"/>
      <c r="C8" s="22"/>
      <c r="D8" s="20"/>
    </row>
    <row r="9" spans="1:4">
      <c r="A9" s="18"/>
      <c r="B9" s="21"/>
      <c r="C9" s="22"/>
      <c r="D9" s="20"/>
    </row>
    <row r="10" spans="1:4">
      <c r="A10" s="18"/>
      <c r="B10" s="21"/>
      <c r="C10" s="22"/>
      <c r="D10" s="20"/>
    </row>
    <row r="11" spans="1:4">
      <c r="A11" s="18"/>
      <c r="B11" s="21"/>
      <c r="C11" s="22"/>
      <c r="D11" s="20"/>
    </row>
    <row r="12" spans="1:4">
      <c r="A12" s="18"/>
      <c r="B12" s="21"/>
      <c r="C12" s="22"/>
      <c r="D12" s="20"/>
    </row>
    <row r="13" spans="1:4">
      <c r="D13" s="23"/>
    </row>
  </sheetData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</vt:i4>
      </vt:variant>
    </vt:vector>
  </HeadingPairs>
  <TitlesOfParts>
    <vt:vector size="4" baseType="lpstr">
      <vt:lpstr>Classifica PCR</vt:lpstr>
      <vt:lpstr>TOP 20</vt:lpstr>
      <vt:lpstr>quantitativi per ordini</vt:lpstr>
      <vt:lpstr>'Classifica PCR'!Titoli_stampa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Maria Fenici</dc:creator>
  <cp:lastModifiedBy>Francesco Fenici</cp:lastModifiedBy>
  <cp:lastPrinted>2024-12-07T08:33:12Z</cp:lastPrinted>
  <dcterms:created xsi:type="dcterms:W3CDTF">2021-03-01T12:04:24Z</dcterms:created>
  <dcterms:modified xsi:type="dcterms:W3CDTF">2026-05-04T15:08:14Z</dcterms:modified>
</cp:coreProperties>
</file>